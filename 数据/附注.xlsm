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drawings/drawing14.xml" ContentType="application/vnd.openxmlformats-officedocument.drawing+xml"/>
  <Override PartName="/xl/ctrlProps/ctrlProp13.xml" ContentType="application/vnd.ms-excel.controlproperties+xml"/>
  <Override PartName="/xl/drawings/drawing15.xml" ContentType="application/vnd.openxmlformats-officedocument.drawing+xml"/>
  <Override PartName="/xl/ctrlProps/ctrlProp14.xml" ContentType="application/vnd.ms-excel.controlproperties+xml"/>
  <Override PartName="/xl/drawings/drawing16.xml" ContentType="application/vnd.openxmlformats-officedocument.drawing+xml"/>
  <Override PartName="/xl/ctrlProps/ctrlProp15.xml" ContentType="application/vnd.ms-excel.controlproperties+xml"/>
  <Override PartName="/xl/drawings/drawing17.xml" ContentType="application/vnd.openxmlformats-officedocument.drawing+xml"/>
  <Override PartName="/xl/ctrlProps/ctrlProp16.xml" ContentType="application/vnd.ms-excel.controlproperties+xml"/>
  <Override PartName="/xl/drawings/drawing18.xml" ContentType="application/vnd.openxmlformats-officedocument.drawing+xml"/>
  <Override PartName="/xl/ctrlProps/ctrlProp17.xml" ContentType="application/vnd.ms-excel.controlproperties+xml"/>
  <Override PartName="/xl/drawings/drawing19.xml" ContentType="application/vnd.openxmlformats-officedocument.drawing+xml"/>
  <Override PartName="/xl/ctrlProps/ctrlProp18.xml" ContentType="application/vnd.ms-excel.controlproperties+xml"/>
  <Override PartName="/xl/drawings/drawing20.xml" ContentType="application/vnd.openxmlformats-officedocument.drawing+xml"/>
  <Override PartName="/xl/ctrlProps/ctrlProp19.xml" ContentType="application/vnd.ms-excel.controlproperties+xml"/>
  <Override PartName="/xl/drawings/drawing21.xml" ContentType="application/vnd.openxmlformats-officedocument.drawing+xml"/>
  <Override PartName="/xl/ctrlProps/ctrlProp20.xml" ContentType="application/vnd.ms-excel.controlproperties+xml"/>
  <Override PartName="/xl/drawings/drawing22.xml" ContentType="application/vnd.openxmlformats-officedocument.drawing+xml"/>
  <Override PartName="/xl/ctrlProps/ctrlProp21.xml" ContentType="application/vnd.ms-excel.controlproperties+xml"/>
  <Override PartName="/xl/drawings/drawing23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filterPrivacy="1" codeName="ThisWorkbook"/>
  <xr:revisionPtr revIDLastSave="0" documentId="13_ncr:1_{BCBE6662-7AD8-4BF8-86C4-89420A971726}" xr6:coauthVersionLast="47" xr6:coauthVersionMax="47" xr10:uidLastSave="{00000000-0000-0000-0000-000000000000}"/>
  <bookViews>
    <workbookView xWindow="-110" yWindow="-110" windowWidth="22620" windowHeight="13500" tabRatio="853" xr2:uid="{00000000-000D-0000-FFFF-FFFF00000000}"/>
  </bookViews>
  <sheets>
    <sheet name="目录" sheetId="1" r:id="rId1"/>
    <sheet name="资表模板" sheetId="2" r:id="rId2"/>
    <sheet name="利表模板" sheetId="3" r:id="rId3"/>
    <sheet name="货币资金" sheetId="4" r:id="rId4"/>
    <sheet name="应收账款" sheetId="5" r:id="rId5"/>
    <sheet name="存货" sheetId="6" r:id="rId6"/>
    <sheet name="固定资产" sheetId="7" r:id="rId7"/>
    <sheet name="应付账款" sheetId="8" r:id="rId8"/>
    <sheet name="应付职工薪酬" sheetId="9" r:id="rId9"/>
    <sheet name="应交税费" sheetId="10" r:id="rId10"/>
    <sheet name="其他应付款" sheetId="11" r:id="rId11"/>
    <sheet name="实收资本(或股本)" sheetId="12" r:id="rId12"/>
    <sheet name="未分配利润" sheetId="13" r:id="rId13"/>
    <sheet name="营业收入" sheetId="14" r:id="rId14"/>
    <sheet name="营业成本" sheetId="15" r:id="rId15"/>
    <sheet name="税金及附加" sheetId="16" r:id="rId16"/>
    <sheet name="销售费用" sheetId="17" r:id="rId17"/>
    <sheet name="管理费用" sheetId="18" r:id="rId18"/>
    <sheet name="研发费用" sheetId="19" r:id="rId19"/>
    <sheet name="财务费用" sheetId="20" r:id="rId20"/>
    <sheet name="营业外收入" sheetId="21" r:id="rId21"/>
    <sheet name="营业外支出" sheetId="22" r:id="rId22"/>
    <sheet name="所得税费用" sheetId="23" r:id="rId2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22" l="1"/>
  <c r="D6" i="22"/>
  <c r="E6" i="20"/>
  <c r="D6" i="20"/>
  <c r="E8" i="19"/>
  <c r="D8" i="19"/>
  <c r="E20" i="18"/>
  <c r="D20" i="18"/>
  <c r="E6" i="17"/>
  <c r="D6" i="17"/>
  <c r="E6" i="14"/>
  <c r="D6" i="14"/>
  <c r="E11" i="10" l="1"/>
  <c r="D11" i="10"/>
  <c r="E6" i="7"/>
  <c r="D6" i="7"/>
  <c r="E6" i="4"/>
  <c r="D6" i="4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3" i="1" l="1"/>
  <c r="A2" i="1"/>
</calcChain>
</file>

<file path=xl/sharedStrings.xml><?xml version="1.0" encoding="utf-8"?>
<sst xmlns="http://schemas.openxmlformats.org/spreadsheetml/2006/main" count="324" uniqueCount="158">
  <si>
    <r>
      <rPr>
        <b/>
        <sz val="11"/>
        <color theme="1"/>
        <rFont val="宋体"/>
        <family val="3"/>
        <charset val="134"/>
      </rPr>
      <t>序号</t>
    </r>
  </si>
  <si>
    <r>
      <rPr>
        <b/>
        <sz val="11"/>
        <color theme="1"/>
        <rFont val="宋体"/>
        <family val="3"/>
        <charset val="134"/>
      </rPr>
      <t>科目名称</t>
    </r>
  </si>
  <si>
    <r>
      <rPr>
        <b/>
        <sz val="11"/>
        <color theme="1"/>
        <rFont val="宋体"/>
        <family val="3"/>
        <charset val="134"/>
      </rPr>
      <t>报表类型</t>
    </r>
  </si>
  <si>
    <r>
      <rPr>
        <b/>
        <sz val="11"/>
        <color theme="1"/>
        <rFont val="宋体"/>
        <family val="3"/>
        <charset val="134"/>
      </rPr>
      <t>是否做附注表格</t>
    </r>
  </si>
  <si>
    <r>
      <rPr>
        <sz val="11"/>
        <color theme="1"/>
        <rFont val="宋体"/>
        <family val="3"/>
        <charset val="134"/>
      </rPr>
      <t>资表</t>
    </r>
    <phoneticPr fontId="1" type="noConversion"/>
  </si>
  <si>
    <r>
      <rPr>
        <sz val="11"/>
        <color rgb="FFFF0000"/>
        <rFont val="宋体"/>
        <family val="3"/>
        <charset val="134"/>
      </rPr>
      <t>需要做附注表格的科目，请在</t>
    </r>
    <r>
      <rPr>
        <sz val="11"/>
        <color rgb="FFFF0000"/>
        <rFont val="Times New Roman"/>
        <family val="1"/>
      </rPr>
      <t>D</t>
    </r>
    <r>
      <rPr>
        <sz val="11"/>
        <color rgb="FFFF0000"/>
        <rFont val="宋体"/>
        <family val="3"/>
        <charset val="134"/>
      </rPr>
      <t>列相应位置填</t>
    </r>
    <r>
      <rPr>
        <sz val="11"/>
        <color rgb="FFFF0000"/>
        <rFont val="Times New Roman"/>
        <family val="1"/>
      </rPr>
      <t>“</t>
    </r>
    <r>
      <rPr>
        <sz val="11"/>
        <color rgb="FFFF0000"/>
        <rFont val="宋体"/>
        <family val="3"/>
        <charset val="134"/>
      </rPr>
      <t>是</t>
    </r>
    <r>
      <rPr>
        <sz val="11"/>
        <color rgb="FFFF0000"/>
        <rFont val="Times New Roman"/>
        <family val="1"/>
      </rPr>
      <t>"</t>
    </r>
  </si>
  <si>
    <t>货币资金</t>
  </si>
  <si>
    <t>交易性金融资产</t>
  </si>
  <si>
    <t>衍生金融资产</t>
  </si>
  <si>
    <t>应收票据</t>
  </si>
  <si>
    <t>应收账款</t>
  </si>
  <si>
    <t>预付款项</t>
  </si>
  <si>
    <t>其他应收款</t>
  </si>
  <si>
    <t>存货</t>
  </si>
  <si>
    <t>持有待售资产</t>
  </si>
  <si>
    <t>一年内到期的非流动资产</t>
  </si>
  <si>
    <t>其他流动资产</t>
  </si>
  <si>
    <t>债权投资</t>
  </si>
  <si>
    <t>其他债权投资</t>
  </si>
  <si>
    <t>长期应收款</t>
  </si>
  <si>
    <t>长期股权投资</t>
  </si>
  <si>
    <t>其他权益工具投资</t>
  </si>
  <si>
    <t>其他非流动金融资产</t>
  </si>
  <si>
    <t>投资性房地产</t>
  </si>
  <si>
    <t>固定资产</t>
  </si>
  <si>
    <t>在建工程</t>
  </si>
  <si>
    <t>生产性生物资产</t>
  </si>
  <si>
    <t>油气资产</t>
  </si>
  <si>
    <t>无形资产</t>
  </si>
  <si>
    <t>开发支出</t>
  </si>
  <si>
    <t>商誉</t>
  </si>
  <si>
    <t>长期待摊费用</t>
  </si>
  <si>
    <t>递延所得税资产</t>
  </si>
  <si>
    <t>其他非流动资产</t>
  </si>
  <si>
    <t>短期借款</t>
  </si>
  <si>
    <t>交易性金融负债</t>
  </si>
  <si>
    <t>衍生金融负债</t>
  </si>
  <si>
    <t>应付票据</t>
  </si>
  <si>
    <t>应付账款</t>
  </si>
  <si>
    <t>预收款项</t>
  </si>
  <si>
    <t>应付职工薪酬</t>
  </si>
  <si>
    <t>应交税费</t>
  </si>
  <si>
    <t>其他应付款</t>
  </si>
  <si>
    <t>持有待售负债</t>
  </si>
  <si>
    <t>一年内到期的非流动负债</t>
  </si>
  <si>
    <t>其他流动负债</t>
  </si>
  <si>
    <t>长期借款</t>
  </si>
  <si>
    <t>应付债券</t>
  </si>
  <si>
    <t>长期应付款</t>
  </si>
  <si>
    <t>预计负债</t>
  </si>
  <si>
    <t>递延收益</t>
  </si>
  <si>
    <t>递延所得税负债</t>
  </si>
  <si>
    <t>其他非流动负债</t>
  </si>
  <si>
    <t>实收资本(或股本)</t>
  </si>
  <si>
    <t>其他权益工具</t>
  </si>
  <si>
    <t>资本公积</t>
  </si>
  <si>
    <t>其他综合收益</t>
  </si>
  <si>
    <t>专项储备</t>
  </si>
  <si>
    <t>盈余公积</t>
  </si>
  <si>
    <t>未分配利润</t>
  </si>
  <si>
    <t>营业收入</t>
  </si>
  <si>
    <t>营业成本</t>
  </si>
  <si>
    <t>税金及附加</t>
  </si>
  <si>
    <t>销售费用</t>
  </si>
  <si>
    <t>管理费用</t>
  </si>
  <si>
    <t>研发费用</t>
  </si>
  <si>
    <t>财务费用</t>
  </si>
  <si>
    <t>其他收益</t>
  </si>
  <si>
    <t>投资收益</t>
  </si>
  <si>
    <t>公允价值变动收益</t>
  </si>
  <si>
    <t>信用减值损失</t>
  </si>
  <si>
    <t>资产减值损失</t>
  </si>
  <si>
    <t>资产处置收益</t>
  </si>
  <si>
    <t>营业外收入</t>
  </si>
  <si>
    <t>营业外支出</t>
  </si>
  <si>
    <t>所得税费用</t>
  </si>
  <si>
    <t>利表</t>
    <phoneticPr fontId="1" type="noConversion"/>
  </si>
  <si>
    <t>项目</t>
    <phoneticPr fontId="1" type="noConversion"/>
  </si>
  <si>
    <t>本期金额</t>
    <phoneticPr fontId="1" type="noConversion"/>
  </si>
  <si>
    <t>期初金额</t>
    <phoneticPr fontId="1" type="noConversion"/>
  </si>
  <si>
    <t>期末金额</t>
    <phoneticPr fontId="1" type="noConversion"/>
  </si>
  <si>
    <t>上期金额</t>
    <phoneticPr fontId="1" type="noConversion"/>
  </si>
  <si>
    <t>是</t>
  </si>
  <si>
    <t>库存现金</t>
  </si>
  <si>
    <t>银行存款</t>
  </si>
  <si>
    <t>合计</t>
    <phoneticPr fontId="1" type="noConversion"/>
  </si>
  <si>
    <t>主要往来单位</t>
    <phoneticPr fontId="1" type="noConversion"/>
  </si>
  <si>
    <t xml:space="preserve">  唐山港陆钢铁有限公司</t>
  </si>
  <si>
    <t xml:space="preserve">  武安市裕华钢铁有限公司</t>
  </si>
  <si>
    <t xml:space="preserve">  郑州康辉耐材有限公司</t>
  </si>
  <si>
    <t xml:space="preserve">  河北东海特钢集团有限公司</t>
  </si>
  <si>
    <t>库存商品</t>
  </si>
  <si>
    <t>原值</t>
    <phoneticPr fontId="1" type="noConversion"/>
  </si>
  <si>
    <t>减：累计折旧</t>
    <phoneticPr fontId="1" type="noConversion"/>
  </si>
  <si>
    <t>净值</t>
    <phoneticPr fontId="1" type="noConversion"/>
  </si>
  <si>
    <t xml:space="preserve">  河南和成无机新材料股份有限公司</t>
  </si>
  <si>
    <t xml:space="preserve">  临漳县鼎恒研磨新材料科技有限公司</t>
  </si>
  <si>
    <t xml:space="preserve">  重庆市赛特刚玉有限公司</t>
  </si>
  <si>
    <t xml:space="preserve">  巩义市金禧磨料有限公司</t>
  </si>
  <si>
    <t xml:space="preserve">  工资</t>
  </si>
  <si>
    <t xml:space="preserve">  应交增值税</t>
  </si>
  <si>
    <t/>
  </si>
  <si>
    <t xml:space="preserve">  未交增值税</t>
  </si>
  <si>
    <t xml:space="preserve">  应交所得税</t>
  </si>
  <si>
    <t xml:space="preserve">  应交城市维护建设税</t>
  </si>
  <si>
    <t xml:space="preserve">  教育费附加</t>
  </si>
  <si>
    <t xml:space="preserve">  地方教育附加</t>
  </si>
  <si>
    <t xml:space="preserve">  印花税</t>
  </si>
  <si>
    <t xml:space="preserve">  天津金城</t>
  </si>
  <si>
    <t xml:space="preserve">  深圳前海微众</t>
  </si>
  <si>
    <t xml:space="preserve">  新网银行</t>
  </si>
  <si>
    <t xml:space="preserve">  吉林亿联银行</t>
  </si>
  <si>
    <t>实收资本</t>
  </si>
  <si>
    <t xml:space="preserve">    上年期末金额    </t>
  </si>
  <si>
    <t xml:space="preserve">    加：期初未分配利润调整数    </t>
  </si>
  <si>
    <t xml:space="preserve">    其中：会计政策变更    </t>
  </si>
  <si>
    <t xml:space="preserve">    重大会计差错    </t>
  </si>
  <si>
    <t xml:space="preserve">    其他调整因素    </t>
  </si>
  <si>
    <t xml:space="preserve">    本年年初余额    </t>
  </si>
  <si>
    <t xml:space="preserve">    本年增加    </t>
  </si>
  <si>
    <t xml:space="preserve">    其中：本年净利润转入    </t>
  </si>
  <si>
    <t xml:space="preserve">    其他增加    </t>
  </si>
  <si>
    <t xml:space="preserve">    本年减少    </t>
  </si>
  <si>
    <t xml:space="preserve">    其中：本年提取盈余公积    </t>
  </si>
  <si>
    <t xml:space="preserve">    本年分配现金股利    </t>
  </si>
  <si>
    <t xml:space="preserve">    转增资本    </t>
  </si>
  <si>
    <t xml:space="preserve">    其他减少    </t>
  </si>
  <si>
    <t xml:space="preserve">    本年年末余额    </t>
  </si>
  <si>
    <t>主营业务收入</t>
    <phoneticPr fontId="1" type="noConversion"/>
  </si>
  <si>
    <t>其中：高新产品收入</t>
    <phoneticPr fontId="1" type="noConversion"/>
  </si>
  <si>
    <t>主营业务成本</t>
    <phoneticPr fontId="1" type="noConversion"/>
  </si>
  <si>
    <t>营业税金及附加</t>
  </si>
  <si>
    <t xml:space="preserve">  包装费</t>
  </si>
  <si>
    <t xml:space="preserve">  运费</t>
  </si>
  <si>
    <t xml:space="preserve">  办公费</t>
  </si>
  <si>
    <t xml:space="preserve">  差旅费</t>
  </si>
  <si>
    <t xml:space="preserve">  保险费用</t>
  </si>
  <si>
    <t xml:space="preserve">  业务招待费</t>
  </si>
  <si>
    <t xml:space="preserve">  汽油费</t>
  </si>
  <si>
    <t xml:space="preserve">  培训费</t>
  </si>
  <si>
    <t xml:space="preserve">  福利费</t>
  </si>
  <si>
    <t xml:space="preserve">  折旧</t>
  </si>
  <si>
    <t xml:space="preserve">  社保费</t>
  </si>
  <si>
    <t xml:space="preserve">  环境保护税</t>
  </si>
  <si>
    <t xml:space="preserve">  专利费</t>
  </si>
  <si>
    <t xml:space="preserve">  小车费</t>
  </si>
  <si>
    <t xml:space="preserve">  其他</t>
  </si>
  <si>
    <t>税费</t>
    <phoneticPr fontId="1" type="noConversion"/>
  </si>
  <si>
    <t>印刷费</t>
    <phoneticPr fontId="1" type="noConversion"/>
  </si>
  <si>
    <t>直接人工</t>
    <phoneticPr fontId="1" type="noConversion"/>
  </si>
  <si>
    <t>直接投入</t>
    <phoneticPr fontId="1" type="noConversion"/>
  </si>
  <si>
    <t>折旧</t>
    <phoneticPr fontId="1" type="noConversion"/>
  </si>
  <si>
    <t>其他费用</t>
    <phoneticPr fontId="1" type="noConversion"/>
  </si>
  <si>
    <t xml:space="preserve">  利息</t>
  </si>
  <si>
    <t xml:space="preserve">  手续费</t>
    <phoneticPr fontId="1" type="noConversion"/>
  </si>
  <si>
    <t xml:space="preserve">  滞纳金</t>
  </si>
  <si>
    <t xml:space="preserve">  捐赠支出</t>
  </si>
  <si>
    <t>所得税费用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</si>
</sst>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FF0000"/>
      <name val="宋体"/>
      <family val="3"/>
      <charset val="134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b/>
      <sz val="11"/>
      <color rgb="FF0000FF"/>
      <name val="微软雅黑"/>
      <family val="2"/>
      <charset val="134"/>
    </font>
    <font>
      <sz val="11"/>
      <color theme="1"/>
      <name val="等线"/>
      <family val="2"/>
      <scheme val="minor"/>
    </font>
    <font>
      <u/>
      <sz val="11"/>
      <color theme="10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rgb="FF00B0F0"/>
      </left>
      <right style="hair">
        <color rgb="FF00B0F0"/>
      </right>
      <top style="medium">
        <color rgb="FF00B0F0"/>
      </top>
      <bottom style="hair">
        <color rgb="FF00B0F0"/>
      </bottom>
      <diagonal/>
    </border>
    <border>
      <left style="hair">
        <color rgb="FF00B0F0"/>
      </left>
      <right style="hair">
        <color rgb="FF00B0F0"/>
      </right>
      <top style="medium">
        <color rgb="FF00B0F0"/>
      </top>
      <bottom style="hair">
        <color rgb="FF00B0F0"/>
      </bottom>
      <diagonal/>
    </border>
    <border>
      <left style="hair">
        <color rgb="FF00B0F0"/>
      </left>
      <right style="medium">
        <color rgb="FF00B0F0"/>
      </right>
      <top style="medium">
        <color rgb="FF00B0F0"/>
      </top>
      <bottom style="hair">
        <color rgb="FF00B0F0"/>
      </bottom>
      <diagonal/>
    </border>
    <border>
      <left style="medium">
        <color rgb="FF00B0F0"/>
      </left>
      <right style="hair">
        <color rgb="FF00B0F0"/>
      </right>
      <top style="hair">
        <color rgb="FF00B0F0"/>
      </top>
      <bottom style="hair">
        <color rgb="FF00B0F0"/>
      </bottom>
      <diagonal/>
    </border>
    <border>
      <left style="hair">
        <color rgb="FF00B0F0"/>
      </left>
      <right style="hair">
        <color rgb="FF00B0F0"/>
      </right>
      <top style="hair">
        <color rgb="FF00B0F0"/>
      </top>
      <bottom style="hair">
        <color rgb="FF00B0F0"/>
      </bottom>
      <diagonal/>
    </border>
    <border>
      <left style="hair">
        <color rgb="FF00B0F0"/>
      </left>
      <right style="medium">
        <color rgb="FF00B0F0"/>
      </right>
      <top style="hair">
        <color rgb="FF00B0F0"/>
      </top>
      <bottom style="hair">
        <color rgb="FF00B0F0"/>
      </bottom>
      <diagonal/>
    </border>
    <border>
      <left style="medium">
        <color rgb="FF00B0F0"/>
      </left>
      <right style="hair">
        <color rgb="FF00B0F0"/>
      </right>
      <top style="hair">
        <color rgb="FF00B0F0"/>
      </top>
      <bottom style="medium">
        <color rgb="FF00B0F0"/>
      </bottom>
      <diagonal/>
    </border>
    <border>
      <left style="hair">
        <color rgb="FF00B0F0"/>
      </left>
      <right style="hair">
        <color rgb="FF00B0F0"/>
      </right>
      <top style="hair">
        <color rgb="FF00B0F0"/>
      </top>
      <bottom style="medium">
        <color rgb="FF00B0F0"/>
      </bottom>
      <diagonal/>
    </border>
    <border>
      <left style="hair">
        <color rgb="FF00B0F0"/>
      </left>
      <right style="medium">
        <color rgb="FF00B0F0"/>
      </right>
      <top style="hair">
        <color rgb="FF00B0F0"/>
      </top>
      <bottom style="medium">
        <color rgb="FF00B0F0"/>
      </bottom>
      <diagonal/>
    </border>
  </borders>
  <cellStyleXfs count="3">
    <xf numFmtId="0" fontId="0" fillId="0" borderId="0"/>
    <xf numFmtId="43" fontId="9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/>
  </cellStyleXfs>
  <cellXfs count="21">
    <xf numFmtId="0" fontId="0" fillId="0" borderId="0" xfId="0"/>
    <xf numFmtId="0" fontId="6" fillId="0" borderId="0" xfId="0" applyFont="1" applyAlignment="1">
      <alignment vertical="center" wrapText="1"/>
    </xf>
    <xf numFmtId="0" fontId="7" fillId="2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5" fillId="0" borderId="3" xfId="0" applyFont="1" applyBorder="1" applyAlignment="1">
      <alignment vertical="center" wrapText="1"/>
    </xf>
    <xf numFmtId="0" fontId="6" fillId="0" borderId="4" xfId="0" applyFont="1" applyBorder="1" applyAlignment="1">
      <alignment vertical="center"/>
    </xf>
    <xf numFmtId="0" fontId="0" fillId="0" borderId="5" xfId="0" applyBorder="1"/>
    <xf numFmtId="0" fontId="6" fillId="0" borderId="5" xfId="0" applyFont="1" applyBorder="1" applyAlignment="1">
      <alignment vertical="center"/>
    </xf>
    <xf numFmtId="0" fontId="6" fillId="0" borderId="6" xfId="0" applyFont="1" applyBorder="1" applyAlignment="1">
      <alignment vertical="center"/>
    </xf>
    <xf numFmtId="0" fontId="6" fillId="0" borderId="5" xfId="0" applyFont="1" applyBorder="1"/>
    <xf numFmtId="0" fontId="6" fillId="0" borderId="5" xfId="0" applyFont="1" applyBorder="1" applyAlignment="1">
      <alignment vertical="center" wrapText="1"/>
    </xf>
    <xf numFmtId="0" fontId="3" fillId="0" borderId="5" xfId="0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6" fillId="0" borderId="9" xfId="0" applyFont="1" applyBorder="1" applyAlignment="1">
      <alignment vertical="center"/>
    </xf>
    <xf numFmtId="43" fontId="0" fillId="0" borderId="0" xfId="1" applyFont="1" applyAlignment="1">
      <alignment horizontal="center" vertical="center"/>
    </xf>
    <xf numFmtId="0" fontId="10" fillId="0" borderId="5" xfId="2" applyBorder="1"/>
    <xf numFmtId="0" fontId="10" fillId="0" borderId="5" xfId="2" applyBorder="1" applyAlignment="1">
      <alignment vertical="center" wrapText="1"/>
    </xf>
    <xf numFmtId="0" fontId="10" fillId="0" borderId="8" xfId="2" applyBorder="1" applyAlignment="1">
      <alignment vertical="center" wrapText="1"/>
    </xf>
  </cellXfs>
  <cellStyles count="3">
    <cellStyle name="常规" xfId="0" builtinId="0"/>
    <cellStyle name="超链接" xfId="2" builtinId="8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0</xdr:row>
          <xdr:rowOff>19050</xdr:rowOff>
        </xdr:from>
        <xdr:to>
          <xdr:col>6</xdr:col>
          <xdr:colOff>628650</xdr:colOff>
          <xdr:row>0</xdr:row>
          <xdr:rowOff>292100</xdr:rowOff>
        </xdr:to>
        <xdr:sp macro="" textlink="">
          <xdr:nvSpPr>
            <xdr:cNvPr id="4103" name="Comd_jlbghlj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50800</xdr:colOff>
          <xdr:row>0</xdr:row>
          <xdr:rowOff>19050</xdr:rowOff>
        </xdr:from>
        <xdr:ext cx="596900" cy="247650"/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36576" tIns="45720" rIns="36576" bIns="45720" anchor="ctr" upright="1">
              <a:spAutoFit/>
            </a:bodyPr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返回目录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57150</xdr:colOff>
          <xdr:row>0</xdr:row>
          <xdr:rowOff>31750</xdr:rowOff>
        </xdr:from>
        <xdr:ext cx="596900" cy="247650"/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36576" tIns="45720" rIns="36576" bIns="45720" anchor="ctr" upright="1">
              <a:spAutoFit/>
            </a:bodyPr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返回目录</a:t>
              </a:r>
            </a:p>
          </xdr:txBody>
        </xdr:sp>
        <xdr:clientData fPrintsWithSheet="0"/>
      </xdr:one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50800</xdr:colOff>
          <xdr:row>0</xdr:row>
          <xdr:rowOff>19050</xdr:rowOff>
        </xdr:from>
        <xdr:ext cx="596900" cy="247650"/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36576" tIns="45720" rIns="36576" bIns="45720" anchor="ctr" upright="1">
              <a:spAutoFit/>
            </a:bodyPr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返回目录</a:t>
              </a:r>
            </a:p>
          </xdr:txBody>
        </xdr:sp>
        <xdr:clientData fPrintsWithSheet="0"/>
      </xdr:one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50800</xdr:colOff>
          <xdr:row>0</xdr:row>
          <xdr:rowOff>19050</xdr:rowOff>
        </xdr:from>
        <xdr:ext cx="596900" cy="247650"/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36576" tIns="45720" rIns="36576" bIns="45720" anchor="ctr" upright="1">
              <a:spAutoFit/>
            </a:bodyPr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返回目录</a:t>
              </a:r>
            </a:p>
          </xdr:txBody>
        </xdr:sp>
        <xdr:clientData fPrintsWithSheet="0"/>
      </xdr:one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50800</xdr:colOff>
          <xdr:row>0</xdr:row>
          <xdr:rowOff>19050</xdr:rowOff>
        </xdr:from>
        <xdr:ext cx="596900" cy="247650"/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36576" tIns="45720" rIns="36576" bIns="45720" anchor="ctr" upright="1">
              <a:spAutoFit/>
            </a:bodyPr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返回目录</a:t>
              </a:r>
            </a:p>
          </xdr:txBody>
        </xdr:sp>
        <xdr:clientData fPrintsWithSheet="0"/>
      </xdr:one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50800</xdr:colOff>
          <xdr:row>0</xdr:row>
          <xdr:rowOff>19050</xdr:rowOff>
        </xdr:from>
        <xdr:ext cx="596900" cy="247650"/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36576" tIns="45720" rIns="36576" bIns="45720" anchor="ctr" upright="1">
              <a:spAutoFit/>
            </a:bodyPr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返回目录</a:t>
              </a:r>
            </a:p>
          </xdr:txBody>
        </xdr:sp>
        <xdr:clientData fPrintsWithSheet="0"/>
      </xdr:one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50800</xdr:colOff>
          <xdr:row>0</xdr:row>
          <xdr:rowOff>19050</xdr:rowOff>
        </xdr:from>
        <xdr:ext cx="596900" cy="247650"/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36576" tIns="45720" rIns="36576" bIns="45720" anchor="ctr" upright="1">
              <a:spAutoFit/>
            </a:bodyPr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返回目录</a:t>
              </a:r>
            </a:p>
          </xdr:txBody>
        </xdr:sp>
        <xdr:clientData fPrintsWithSheet="0"/>
      </xdr:one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50800</xdr:colOff>
          <xdr:row>0</xdr:row>
          <xdr:rowOff>19050</xdr:rowOff>
        </xdr:from>
        <xdr:ext cx="596900" cy="247650"/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36576" tIns="45720" rIns="36576" bIns="45720" anchor="ctr" upright="1">
              <a:spAutoFit/>
            </a:bodyPr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返回目录</a:t>
              </a:r>
            </a:p>
          </xdr:txBody>
        </xdr:sp>
        <xdr:clientData fPrintsWithSheet="0"/>
      </xdr:one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50800</xdr:colOff>
          <xdr:row>0</xdr:row>
          <xdr:rowOff>19050</xdr:rowOff>
        </xdr:from>
        <xdr:ext cx="596900" cy="247650"/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9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36576" tIns="45720" rIns="36576" bIns="45720" anchor="ctr" upright="1">
              <a:spAutoFit/>
            </a:bodyPr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返回目录</a:t>
              </a:r>
            </a:p>
          </xdr:txBody>
        </xdr:sp>
        <xdr:clientData fPrintsWithSheet="0"/>
      </xdr:one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50800</xdr:colOff>
          <xdr:row>0</xdr:row>
          <xdr:rowOff>19050</xdr:rowOff>
        </xdr:from>
        <xdr:ext cx="596900" cy="247650"/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A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36576" tIns="45720" rIns="36576" bIns="45720" anchor="ctr" upright="1">
              <a:spAutoFit/>
            </a:bodyPr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返回目录</a:t>
              </a:r>
            </a:p>
          </xdr:txBody>
        </xdr:sp>
        <xdr:clientData fPrintsWithSheet="0"/>
      </xdr:one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50800</xdr:colOff>
          <xdr:row>0</xdr:row>
          <xdr:rowOff>19050</xdr:rowOff>
        </xdr:from>
        <xdr:ext cx="596900" cy="247650"/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B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36576" tIns="45720" rIns="36576" bIns="45720" anchor="ctr" upright="1">
              <a:spAutoFit/>
            </a:bodyPr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返回目录</a:t>
              </a:r>
            </a:p>
          </xdr:txBody>
        </xdr:sp>
        <xdr:clientData fPrintsWithSheet="0"/>
      </xdr:one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50800</xdr:colOff>
          <xdr:row>0</xdr:row>
          <xdr:rowOff>19050</xdr:rowOff>
        </xdr:from>
        <xdr:ext cx="596900" cy="247650"/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C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36576" tIns="45720" rIns="36576" bIns="45720" anchor="ctr" upright="1">
              <a:spAutoFit/>
            </a:bodyPr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返回目录</a:t>
              </a:r>
            </a:p>
          </xdr:txBody>
        </xdr:sp>
        <xdr:clientData fPrintsWithSheet="0"/>
      </xdr:one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57150</xdr:colOff>
          <xdr:row>0</xdr:row>
          <xdr:rowOff>31750</xdr:rowOff>
        </xdr:from>
        <xdr:ext cx="596900" cy="247650"/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D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36576" tIns="45720" rIns="36576" bIns="45720" anchor="ctr" upright="1">
              <a:spAutoFit/>
            </a:bodyPr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返回目录</a:t>
              </a:r>
            </a:p>
          </xdr:txBody>
        </xdr:sp>
        <xdr:clientData fPrintsWithSheet="0"/>
      </xdr:one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57150</xdr:colOff>
          <xdr:row>0</xdr:row>
          <xdr:rowOff>31750</xdr:rowOff>
        </xdr:from>
        <xdr:ext cx="596900" cy="247650"/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E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36576" tIns="45720" rIns="36576" bIns="45720" anchor="ctr" upright="1">
              <a:spAutoFit/>
            </a:bodyPr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返回目录</a:t>
              </a:r>
            </a:p>
          </xdr:txBody>
        </xdr:sp>
        <xdr:clientData fPrintsWithSheet="0"/>
      </xdr:one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57150</xdr:colOff>
          <xdr:row>0</xdr:row>
          <xdr:rowOff>31750</xdr:rowOff>
        </xdr:from>
        <xdr:ext cx="596900" cy="247650"/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F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36576" tIns="45720" rIns="36576" bIns="45720" anchor="ctr" upright="1">
              <a:spAutoFit/>
            </a:bodyPr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返回目录</a:t>
              </a:r>
            </a:p>
          </xdr:txBody>
        </xdr:sp>
        <xdr:clientData fPrintsWithSheet="0"/>
      </xdr:one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57150</xdr:colOff>
          <xdr:row>0</xdr:row>
          <xdr:rowOff>31750</xdr:rowOff>
        </xdr:from>
        <xdr:ext cx="596900" cy="247650"/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36576" tIns="45720" rIns="36576" bIns="45720" anchor="ctr" upright="1">
              <a:spAutoFit/>
            </a:bodyPr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返回目录</a:t>
              </a:r>
            </a:p>
          </xdr:txBody>
        </xdr:sp>
        <xdr:clientData fPrintsWithSheet="0"/>
      </xdr:one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57150</xdr:colOff>
          <xdr:row>0</xdr:row>
          <xdr:rowOff>31750</xdr:rowOff>
        </xdr:from>
        <xdr:ext cx="596900" cy="247650"/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1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36576" tIns="45720" rIns="36576" bIns="45720" anchor="ctr" upright="1">
              <a:spAutoFit/>
            </a:bodyPr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返回目录</a:t>
              </a:r>
            </a:p>
          </xdr:txBody>
        </xdr:sp>
        <xdr:clientData fPrintsWithSheet="0"/>
      </xdr:one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57150</xdr:colOff>
          <xdr:row>0</xdr:row>
          <xdr:rowOff>31750</xdr:rowOff>
        </xdr:from>
        <xdr:ext cx="596900" cy="247650"/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36576" tIns="45720" rIns="36576" bIns="45720" anchor="ctr" upright="1">
              <a:spAutoFit/>
            </a:bodyPr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返回目录</a:t>
              </a:r>
            </a:p>
          </xdr:txBody>
        </xdr:sp>
        <xdr:clientData fPrintsWithSheet="0"/>
      </xdr:one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57150</xdr:colOff>
          <xdr:row>0</xdr:row>
          <xdr:rowOff>31750</xdr:rowOff>
        </xdr:from>
        <xdr:ext cx="596900" cy="247650"/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3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36576" tIns="45720" rIns="36576" bIns="45720" anchor="ctr" upright="1">
              <a:spAutoFit/>
            </a:bodyPr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返回目录</a:t>
              </a:r>
            </a:p>
          </xdr:txBody>
        </xdr:sp>
        <xdr:clientData fPrintsWithSheet="0"/>
      </xdr:one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57150</xdr:colOff>
          <xdr:row>0</xdr:row>
          <xdr:rowOff>31750</xdr:rowOff>
        </xdr:from>
        <xdr:ext cx="596900" cy="247650"/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4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36576" tIns="45720" rIns="36576" bIns="45720" anchor="ctr" upright="1">
              <a:spAutoFit/>
            </a:bodyPr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返回目录</a:t>
              </a:r>
            </a:p>
          </xdr:txBody>
        </xdr:sp>
        <xdr:clientData fPrintsWithSheet="0"/>
      </xdr:one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57150</xdr:colOff>
          <xdr:row>0</xdr:row>
          <xdr:rowOff>31750</xdr:rowOff>
        </xdr:from>
        <xdr:ext cx="596900" cy="247650"/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36576" tIns="45720" rIns="36576" bIns="45720" anchor="ctr" upright="1">
              <a:spAutoFit/>
            </a:bodyPr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返回目录</a:t>
              </a:r>
            </a:p>
          </xdr:txBody>
        </xdr:sp>
        <xdr:clientData fPrintsWithSheet="0"/>
      </xdr:one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57150</xdr:colOff>
          <xdr:row>0</xdr:row>
          <xdr:rowOff>31750</xdr:rowOff>
        </xdr:from>
        <xdr:ext cx="596900" cy="247650"/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36576" tIns="45720" rIns="36576" bIns="45720" anchor="ctr" upright="1">
              <a:spAutoFit/>
            </a:bodyPr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返回目录</a:t>
              </a:r>
            </a:p>
          </xdr:txBody>
        </xdr:sp>
        <xdr:clientData fPrintsWithSheet="0"/>
      </xdr:one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1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67" sqref="E67"/>
    </sheetView>
  </sheetViews>
  <sheetFormatPr defaultColWidth="9.1640625" defaultRowHeight="14" x14ac:dyDescent="0.3"/>
  <cols>
    <col min="1" max="1" width="9.1640625" style="3"/>
    <col min="2" max="2" width="27" style="1" customWidth="1"/>
    <col min="3" max="3" width="11.58203125" style="3" customWidth="1"/>
    <col min="4" max="4" width="11" style="3" customWidth="1"/>
    <col min="5" max="16384" width="9.1640625" style="3"/>
  </cols>
  <sheetData>
    <row r="1" spans="1:9" s="1" customFormat="1" ht="29.25" customHeight="1" x14ac:dyDescent="0.3">
      <c r="A1" s="4" t="s">
        <v>0</v>
      </c>
      <c r="B1" s="5" t="s">
        <v>1</v>
      </c>
      <c r="C1" s="5" t="s">
        <v>2</v>
      </c>
      <c r="D1" s="6" t="s">
        <v>3</v>
      </c>
    </row>
    <row r="2" spans="1:9" x14ac:dyDescent="0.3">
      <c r="A2" s="7">
        <f>ROW()-1</f>
        <v>1</v>
      </c>
      <c r="B2" s="18" t="s">
        <v>6</v>
      </c>
      <c r="C2" s="9" t="s">
        <v>4</v>
      </c>
      <c r="D2" s="10" t="s">
        <v>82</v>
      </c>
      <c r="E2" s="2" t="s">
        <v>5</v>
      </c>
      <c r="F2" s="2"/>
      <c r="G2" s="2"/>
      <c r="H2" s="2"/>
      <c r="I2" s="2"/>
    </row>
    <row r="3" spans="1:9" x14ac:dyDescent="0.3">
      <c r="A3" s="7">
        <f t="shared" ref="A3:A66" si="0">ROW()-1</f>
        <v>2</v>
      </c>
      <c r="B3" s="8" t="s">
        <v>7</v>
      </c>
      <c r="C3" s="9" t="s">
        <v>4</v>
      </c>
      <c r="D3" s="10"/>
    </row>
    <row r="4" spans="1:9" x14ac:dyDescent="0.3">
      <c r="A4" s="7">
        <f t="shared" si="0"/>
        <v>3</v>
      </c>
      <c r="B4" s="8" t="s">
        <v>8</v>
      </c>
      <c r="C4" s="9" t="s">
        <v>4</v>
      </c>
      <c r="D4" s="10"/>
    </row>
    <row r="5" spans="1:9" x14ac:dyDescent="0.3">
      <c r="A5" s="7">
        <f t="shared" si="0"/>
        <v>4</v>
      </c>
      <c r="B5" s="11" t="s">
        <v>9</v>
      </c>
      <c r="C5" s="9" t="s">
        <v>4</v>
      </c>
      <c r="D5" s="10"/>
    </row>
    <row r="6" spans="1:9" x14ac:dyDescent="0.3">
      <c r="A6" s="7">
        <f t="shared" si="0"/>
        <v>5</v>
      </c>
      <c r="B6" s="18" t="s">
        <v>10</v>
      </c>
      <c r="C6" s="9" t="s">
        <v>4</v>
      </c>
      <c r="D6" s="10" t="s">
        <v>82</v>
      </c>
    </row>
    <row r="7" spans="1:9" x14ac:dyDescent="0.3">
      <c r="A7" s="7">
        <f t="shared" si="0"/>
        <v>6</v>
      </c>
      <c r="B7" s="11" t="s">
        <v>11</v>
      </c>
      <c r="C7" s="9" t="s">
        <v>4</v>
      </c>
      <c r="D7" s="10"/>
    </row>
    <row r="8" spans="1:9" x14ac:dyDescent="0.3">
      <c r="A8" s="7">
        <f t="shared" si="0"/>
        <v>7</v>
      </c>
      <c r="B8" s="8" t="s">
        <v>12</v>
      </c>
      <c r="C8" s="9" t="s">
        <v>4</v>
      </c>
      <c r="D8" s="10"/>
    </row>
    <row r="9" spans="1:9" x14ac:dyDescent="0.3">
      <c r="A9" s="7">
        <f t="shared" si="0"/>
        <v>8</v>
      </c>
      <c r="B9" s="18" t="s">
        <v>13</v>
      </c>
      <c r="C9" s="9" t="s">
        <v>4</v>
      </c>
      <c r="D9" s="10" t="s">
        <v>82</v>
      </c>
    </row>
    <row r="10" spans="1:9" x14ac:dyDescent="0.3">
      <c r="A10" s="7">
        <f t="shared" si="0"/>
        <v>9</v>
      </c>
      <c r="B10" s="8" t="s">
        <v>14</v>
      </c>
      <c r="C10" s="9" t="s">
        <v>4</v>
      </c>
      <c r="D10" s="10"/>
    </row>
    <row r="11" spans="1:9" x14ac:dyDescent="0.3">
      <c r="A11" s="7">
        <f t="shared" si="0"/>
        <v>10</v>
      </c>
      <c r="B11" s="11" t="s">
        <v>15</v>
      </c>
      <c r="C11" s="9" t="s">
        <v>4</v>
      </c>
      <c r="D11" s="10"/>
    </row>
    <row r="12" spans="1:9" x14ac:dyDescent="0.3">
      <c r="A12" s="7">
        <f t="shared" si="0"/>
        <v>11</v>
      </c>
      <c r="B12" s="11" t="s">
        <v>16</v>
      </c>
      <c r="C12" s="9" t="s">
        <v>4</v>
      </c>
      <c r="D12" s="10"/>
    </row>
    <row r="13" spans="1:9" x14ac:dyDescent="0.3">
      <c r="A13" s="7">
        <f t="shared" si="0"/>
        <v>12</v>
      </c>
      <c r="B13" s="11" t="s">
        <v>17</v>
      </c>
      <c r="C13" s="9" t="s">
        <v>4</v>
      </c>
      <c r="D13" s="10"/>
    </row>
    <row r="14" spans="1:9" x14ac:dyDescent="0.3">
      <c r="A14" s="7">
        <f t="shared" si="0"/>
        <v>13</v>
      </c>
      <c r="B14" s="11" t="s">
        <v>18</v>
      </c>
      <c r="C14" s="9" t="s">
        <v>4</v>
      </c>
      <c r="D14" s="10"/>
    </row>
    <row r="15" spans="1:9" x14ac:dyDescent="0.3">
      <c r="A15" s="7">
        <f t="shared" si="0"/>
        <v>14</v>
      </c>
      <c r="B15" s="11" t="s">
        <v>19</v>
      </c>
      <c r="C15" s="9" t="s">
        <v>4</v>
      </c>
      <c r="D15" s="10"/>
    </row>
    <row r="16" spans="1:9" x14ac:dyDescent="0.3">
      <c r="A16" s="7">
        <f t="shared" si="0"/>
        <v>15</v>
      </c>
      <c r="B16" s="11" t="s">
        <v>20</v>
      </c>
      <c r="C16" s="9" t="s">
        <v>4</v>
      </c>
      <c r="D16" s="10"/>
    </row>
    <row r="17" spans="1:4" x14ac:dyDescent="0.3">
      <c r="A17" s="7">
        <f t="shared" si="0"/>
        <v>16</v>
      </c>
      <c r="B17" s="11" t="s">
        <v>21</v>
      </c>
      <c r="C17" s="9" t="s">
        <v>4</v>
      </c>
      <c r="D17" s="10"/>
    </row>
    <row r="18" spans="1:4" x14ac:dyDescent="0.3">
      <c r="A18" s="7">
        <f t="shared" si="0"/>
        <v>17</v>
      </c>
      <c r="B18" s="8" t="s">
        <v>22</v>
      </c>
      <c r="C18" s="9" t="s">
        <v>4</v>
      </c>
      <c r="D18" s="10"/>
    </row>
    <row r="19" spans="1:4" x14ac:dyDescent="0.3">
      <c r="A19" s="7">
        <f t="shared" si="0"/>
        <v>18</v>
      </c>
      <c r="B19" s="11" t="s">
        <v>23</v>
      </c>
      <c r="C19" s="9" t="s">
        <v>4</v>
      </c>
      <c r="D19" s="10"/>
    </row>
    <row r="20" spans="1:4" x14ac:dyDescent="0.3">
      <c r="A20" s="7">
        <f t="shared" si="0"/>
        <v>19</v>
      </c>
      <c r="B20" s="18" t="s">
        <v>24</v>
      </c>
      <c r="C20" s="9" t="s">
        <v>4</v>
      </c>
      <c r="D20" s="10" t="s">
        <v>82</v>
      </c>
    </row>
    <row r="21" spans="1:4" x14ac:dyDescent="0.3">
      <c r="A21" s="7">
        <f t="shared" si="0"/>
        <v>20</v>
      </c>
      <c r="B21" s="11" t="s">
        <v>25</v>
      </c>
      <c r="C21" s="9" t="s">
        <v>4</v>
      </c>
      <c r="D21" s="10"/>
    </row>
    <row r="22" spans="1:4" x14ac:dyDescent="0.3">
      <c r="A22" s="7">
        <f t="shared" si="0"/>
        <v>21</v>
      </c>
      <c r="B22" s="11" t="s">
        <v>26</v>
      </c>
      <c r="C22" s="9" t="s">
        <v>4</v>
      </c>
      <c r="D22" s="10"/>
    </row>
    <row r="23" spans="1:4" x14ac:dyDescent="0.3">
      <c r="A23" s="7">
        <f t="shared" si="0"/>
        <v>22</v>
      </c>
      <c r="B23" s="11" t="s">
        <v>27</v>
      </c>
      <c r="C23" s="9" t="s">
        <v>4</v>
      </c>
      <c r="D23" s="10"/>
    </row>
    <row r="24" spans="1:4" x14ac:dyDescent="0.3">
      <c r="A24" s="7">
        <f t="shared" si="0"/>
        <v>23</v>
      </c>
      <c r="B24" s="11" t="s">
        <v>28</v>
      </c>
      <c r="C24" s="9" t="s">
        <v>4</v>
      </c>
      <c r="D24" s="10"/>
    </row>
    <row r="25" spans="1:4" x14ac:dyDescent="0.3">
      <c r="A25" s="7">
        <f t="shared" si="0"/>
        <v>24</v>
      </c>
      <c r="B25" s="8" t="s">
        <v>29</v>
      </c>
      <c r="C25" s="9" t="s">
        <v>4</v>
      </c>
      <c r="D25" s="10"/>
    </row>
    <row r="26" spans="1:4" x14ac:dyDescent="0.3">
      <c r="A26" s="7">
        <f t="shared" si="0"/>
        <v>25</v>
      </c>
      <c r="B26" s="11" t="s">
        <v>30</v>
      </c>
      <c r="C26" s="9" t="s">
        <v>4</v>
      </c>
      <c r="D26" s="10"/>
    </row>
    <row r="27" spans="1:4" x14ac:dyDescent="0.3">
      <c r="A27" s="7">
        <f t="shared" si="0"/>
        <v>26</v>
      </c>
      <c r="B27" s="11" t="s">
        <v>31</v>
      </c>
      <c r="C27" s="9" t="s">
        <v>4</v>
      </c>
      <c r="D27" s="10"/>
    </row>
    <row r="28" spans="1:4" x14ac:dyDescent="0.3">
      <c r="A28" s="7">
        <f t="shared" si="0"/>
        <v>27</v>
      </c>
      <c r="B28" s="11" t="s">
        <v>32</v>
      </c>
      <c r="C28" s="9" t="s">
        <v>4</v>
      </c>
      <c r="D28" s="10"/>
    </row>
    <row r="29" spans="1:4" x14ac:dyDescent="0.3">
      <c r="A29" s="7">
        <f t="shared" si="0"/>
        <v>28</v>
      </c>
      <c r="B29" s="11" t="s">
        <v>33</v>
      </c>
      <c r="C29" s="9" t="s">
        <v>4</v>
      </c>
      <c r="D29" s="10"/>
    </row>
    <row r="30" spans="1:4" x14ac:dyDescent="0.3">
      <c r="A30" s="7">
        <f t="shared" si="0"/>
        <v>29</v>
      </c>
      <c r="B30" s="11" t="s">
        <v>34</v>
      </c>
      <c r="C30" s="9" t="s">
        <v>4</v>
      </c>
      <c r="D30" s="10"/>
    </row>
    <row r="31" spans="1:4" x14ac:dyDescent="0.3">
      <c r="A31" s="7">
        <f t="shared" si="0"/>
        <v>30</v>
      </c>
      <c r="B31" s="11" t="s">
        <v>35</v>
      </c>
      <c r="C31" s="9" t="s">
        <v>4</v>
      </c>
      <c r="D31" s="10"/>
    </row>
    <row r="32" spans="1:4" x14ac:dyDescent="0.3">
      <c r="A32" s="7">
        <f t="shared" si="0"/>
        <v>31</v>
      </c>
      <c r="B32" s="8" t="s">
        <v>36</v>
      </c>
      <c r="C32" s="9" t="s">
        <v>4</v>
      </c>
      <c r="D32" s="10"/>
    </row>
    <row r="33" spans="1:4" x14ac:dyDescent="0.3">
      <c r="A33" s="7">
        <f t="shared" si="0"/>
        <v>32</v>
      </c>
      <c r="B33" s="11" t="s">
        <v>37</v>
      </c>
      <c r="C33" s="9" t="s">
        <v>4</v>
      </c>
      <c r="D33" s="10"/>
    </row>
    <row r="34" spans="1:4" x14ac:dyDescent="0.3">
      <c r="A34" s="7">
        <f t="shared" si="0"/>
        <v>33</v>
      </c>
      <c r="B34" s="18" t="s">
        <v>38</v>
      </c>
      <c r="C34" s="9" t="s">
        <v>4</v>
      </c>
      <c r="D34" s="10" t="s">
        <v>82</v>
      </c>
    </row>
    <row r="35" spans="1:4" x14ac:dyDescent="0.3">
      <c r="A35" s="7">
        <f t="shared" si="0"/>
        <v>34</v>
      </c>
      <c r="B35" s="11" t="s">
        <v>39</v>
      </c>
      <c r="C35" s="9" t="s">
        <v>4</v>
      </c>
      <c r="D35" s="10"/>
    </row>
    <row r="36" spans="1:4" x14ac:dyDescent="0.3">
      <c r="A36" s="7">
        <f t="shared" si="0"/>
        <v>35</v>
      </c>
      <c r="B36" s="18" t="s">
        <v>40</v>
      </c>
      <c r="C36" s="9" t="s">
        <v>4</v>
      </c>
      <c r="D36" s="10" t="s">
        <v>82</v>
      </c>
    </row>
    <row r="37" spans="1:4" x14ac:dyDescent="0.3">
      <c r="A37" s="7">
        <f t="shared" si="0"/>
        <v>36</v>
      </c>
      <c r="B37" s="18" t="s">
        <v>41</v>
      </c>
      <c r="C37" s="9" t="s">
        <v>4</v>
      </c>
      <c r="D37" s="10" t="s">
        <v>82</v>
      </c>
    </row>
    <row r="38" spans="1:4" x14ac:dyDescent="0.3">
      <c r="A38" s="7">
        <f t="shared" si="0"/>
        <v>37</v>
      </c>
      <c r="B38" s="18" t="s">
        <v>42</v>
      </c>
      <c r="C38" s="9" t="s">
        <v>4</v>
      </c>
      <c r="D38" s="10" t="s">
        <v>82</v>
      </c>
    </row>
    <row r="39" spans="1:4" x14ac:dyDescent="0.3">
      <c r="A39" s="7">
        <f t="shared" si="0"/>
        <v>38</v>
      </c>
      <c r="B39" s="11" t="s">
        <v>43</v>
      </c>
      <c r="C39" s="9" t="s">
        <v>4</v>
      </c>
      <c r="D39" s="10"/>
    </row>
    <row r="40" spans="1:4" x14ac:dyDescent="0.3">
      <c r="A40" s="7">
        <f t="shared" si="0"/>
        <v>39</v>
      </c>
      <c r="B40" s="11" t="s">
        <v>44</v>
      </c>
      <c r="C40" s="9" t="s">
        <v>4</v>
      </c>
      <c r="D40" s="10"/>
    </row>
    <row r="41" spans="1:4" x14ac:dyDescent="0.3">
      <c r="A41" s="7">
        <f t="shared" si="0"/>
        <v>40</v>
      </c>
      <c r="B41" s="11" t="s">
        <v>45</v>
      </c>
      <c r="C41" s="9" t="s">
        <v>4</v>
      </c>
      <c r="D41" s="10"/>
    </row>
    <row r="42" spans="1:4" x14ac:dyDescent="0.3">
      <c r="A42" s="7">
        <f t="shared" si="0"/>
        <v>41</v>
      </c>
      <c r="B42" s="11" t="s">
        <v>46</v>
      </c>
      <c r="C42" s="9" t="s">
        <v>4</v>
      </c>
      <c r="D42" s="10"/>
    </row>
    <row r="43" spans="1:4" x14ac:dyDescent="0.3">
      <c r="A43" s="7">
        <f t="shared" si="0"/>
        <v>42</v>
      </c>
      <c r="B43" s="11" t="s">
        <v>47</v>
      </c>
      <c r="C43" s="9" t="s">
        <v>4</v>
      </c>
      <c r="D43" s="10"/>
    </row>
    <row r="44" spans="1:4" x14ac:dyDescent="0.3">
      <c r="A44" s="7">
        <f t="shared" si="0"/>
        <v>43</v>
      </c>
      <c r="B44" s="11" t="s">
        <v>48</v>
      </c>
      <c r="C44" s="9" t="s">
        <v>4</v>
      </c>
      <c r="D44" s="10"/>
    </row>
    <row r="45" spans="1:4" x14ac:dyDescent="0.3">
      <c r="A45" s="7">
        <f t="shared" si="0"/>
        <v>44</v>
      </c>
      <c r="B45" s="11" t="s">
        <v>49</v>
      </c>
      <c r="C45" s="9" t="s">
        <v>4</v>
      </c>
      <c r="D45" s="10"/>
    </row>
    <row r="46" spans="1:4" x14ac:dyDescent="0.3">
      <c r="A46" s="7">
        <f t="shared" si="0"/>
        <v>45</v>
      </c>
      <c r="B46" s="11" t="s">
        <v>50</v>
      </c>
      <c r="C46" s="9" t="s">
        <v>4</v>
      </c>
      <c r="D46" s="10"/>
    </row>
    <row r="47" spans="1:4" x14ac:dyDescent="0.3">
      <c r="A47" s="7">
        <f t="shared" si="0"/>
        <v>46</v>
      </c>
      <c r="B47" s="11" t="s">
        <v>51</v>
      </c>
      <c r="C47" s="9" t="s">
        <v>4</v>
      </c>
      <c r="D47" s="10"/>
    </row>
    <row r="48" spans="1:4" x14ac:dyDescent="0.3">
      <c r="A48" s="7">
        <f t="shared" si="0"/>
        <v>47</v>
      </c>
      <c r="B48" s="11" t="s">
        <v>52</v>
      </c>
      <c r="C48" s="9" t="s">
        <v>4</v>
      </c>
      <c r="D48" s="10"/>
    </row>
    <row r="49" spans="1:4" x14ac:dyDescent="0.3">
      <c r="A49" s="7">
        <f t="shared" si="0"/>
        <v>48</v>
      </c>
      <c r="B49" s="18" t="s">
        <v>53</v>
      </c>
      <c r="C49" s="9" t="s">
        <v>4</v>
      </c>
      <c r="D49" s="10" t="s">
        <v>82</v>
      </c>
    </row>
    <row r="50" spans="1:4" x14ac:dyDescent="0.3">
      <c r="A50" s="7">
        <f t="shared" si="0"/>
        <v>49</v>
      </c>
      <c r="B50" s="11" t="s">
        <v>54</v>
      </c>
      <c r="C50" s="9" t="s">
        <v>4</v>
      </c>
      <c r="D50" s="10"/>
    </row>
    <row r="51" spans="1:4" x14ac:dyDescent="0.3">
      <c r="A51" s="7">
        <f t="shared" si="0"/>
        <v>50</v>
      </c>
      <c r="B51" s="12" t="s">
        <v>55</v>
      </c>
      <c r="C51" s="9" t="s">
        <v>4</v>
      </c>
      <c r="D51" s="10"/>
    </row>
    <row r="52" spans="1:4" x14ac:dyDescent="0.3">
      <c r="A52" s="7">
        <f t="shared" si="0"/>
        <v>51</v>
      </c>
      <c r="B52" s="12" t="s">
        <v>56</v>
      </c>
      <c r="C52" s="9" t="s">
        <v>4</v>
      </c>
      <c r="D52" s="10"/>
    </row>
    <row r="53" spans="1:4" x14ac:dyDescent="0.3">
      <c r="A53" s="7">
        <f t="shared" si="0"/>
        <v>52</v>
      </c>
      <c r="B53" s="12" t="s">
        <v>57</v>
      </c>
      <c r="C53" s="9" t="s">
        <v>4</v>
      </c>
      <c r="D53" s="10"/>
    </row>
    <row r="54" spans="1:4" x14ac:dyDescent="0.3">
      <c r="A54" s="7">
        <f t="shared" si="0"/>
        <v>53</v>
      </c>
      <c r="B54" s="12" t="s">
        <v>58</v>
      </c>
      <c r="C54" s="9" t="s">
        <v>4</v>
      </c>
      <c r="D54" s="10"/>
    </row>
    <row r="55" spans="1:4" x14ac:dyDescent="0.3">
      <c r="A55" s="7">
        <f t="shared" si="0"/>
        <v>54</v>
      </c>
      <c r="B55" s="19" t="s">
        <v>59</v>
      </c>
      <c r="C55" s="9" t="s">
        <v>4</v>
      </c>
      <c r="D55" s="10" t="s">
        <v>82</v>
      </c>
    </row>
    <row r="56" spans="1:4" x14ac:dyDescent="0.3">
      <c r="A56" s="7">
        <f t="shared" si="0"/>
        <v>55</v>
      </c>
      <c r="B56" s="18" t="s">
        <v>60</v>
      </c>
      <c r="C56" s="13" t="s">
        <v>76</v>
      </c>
      <c r="D56" s="10" t="s">
        <v>82</v>
      </c>
    </row>
    <row r="57" spans="1:4" x14ac:dyDescent="0.3">
      <c r="A57" s="7">
        <f t="shared" si="0"/>
        <v>56</v>
      </c>
      <c r="B57" s="19" t="s">
        <v>61</v>
      </c>
      <c r="C57" s="13" t="s">
        <v>76</v>
      </c>
      <c r="D57" s="10" t="s">
        <v>82</v>
      </c>
    </row>
    <row r="58" spans="1:4" x14ac:dyDescent="0.3">
      <c r="A58" s="7">
        <f t="shared" si="0"/>
        <v>57</v>
      </c>
      <c r="B58" s="19" t="s">
        <v>62</v>
      </c>
      <c r="C58" s="13" t="s">
        <v>76</v>
      </c>
      <c r="D58" s="10" t="s">
        <v>82</v>
      </c>
    </row>
    <row r="59" spans="1:4" x14ac:dyDescent="0.3">
      <c r="A59" s="7">
        <f t="shared" si="0"/>
        <v>58</v>
      </c>
      <c r="B59" s="19" t="s">
        <v>63</v>
      </c>
      <c r="C59" s="13" t="s">
        <v>76</v>
      </c>
      <c r="D59" s="10" t="s">
        <v>82</v>
      </c>
    </row>
    <row r="60" spans="1:4" x14ac:dyDescent="0.3">
      <c r="A60" s="7">
        <f t="shared" si="0"/>
        <v>59</v>
      </c>
      <c r="B60" s="19" t="s">
        <v>64</v>
      </c>
      <c r="C60" s="13" t="s">
        <v>76</v>
      </c>
      <c r="D60" s="10" t="s">
        <v>82</v>
      </c>
    </row>
    <row r="61" spans="1:4" x14ac:dyDescent="0.3">
      <c r="A61" s="7">
        <f t="shared" si="0"/>
        <v>60</v>
      </c>
      <c r="B61" s="19" t="s">
        <v>65</v>
      </c>
      <c r="C61" s="13" t="s">
        <v>76</v>
      </c>
      <c r="D61" s="10" t="s">
        <v>82</v>
      </c>
    </row>
    <row r="62" spans="1:4" x14ac:dyDescent="0.3">
      <c r="A62" s="7">
        <f t="shared" si="0"/>
        <v>61</v>
      </c>
      <c r="B62" s="18" t="s">
        <v>66</v>
      </c>
      <c r="C62" s="13" t="s">
        <v>76</v>
      </c>
      <c r="D62" s="10" t="s">
        <v>82</v>
      </c>
    </row>
    <row r="63" spans="1:4" x14ac:dyDescent="0.3">
      <c r="A63" s="7">
        <f t="shared" si="0"/>
        <v>62</v>
      </c>
      <c r="B63" s="12" t="s">
        <v>67</v>
      </c>
      <c r="C63" s="13" t="s">
        <v>76</v>
      </c>
      <c r="D63" s="10"/>
    </row>
    <row r="64" spans="1:4" x14ac:dyDescent="0.3">
      <c r="A64" s="7">
        <f t="shared" si="0"/>
        <v>63</v>
      </c>
      <c r="B64" s="12" t="s">
        <v>68</v>
      </c>
      <c r="C64" s="13" t="s">
        <v>76</v>
      </c>
      <c r="D64" s="10"/>
    </row>
    <row r="65" spans="1:4" x14ac:dyDescent="0.3">
      <c r="A65" s="7">
        <f t="shared" si="0"/>
        <v>64</v>
      </c>
      <c r="B65" s="12" t="s">
        <v>69</v>
      </c>
      <c r="C65" s="13" t="s">
        <v>76</v>
      </c>
      <c r="D65" s="10"/>
    </row>
    <row r="66" spans="1:4" x14ac:dyDescent="0.3">
      <c r="A66" s="7">
        <f t="shared" si="0"/>
        <v>65</v>
      </c>
      <c r="B66" s="12" t="s">
        <v>70</v>
      </c>
      <c r="C66" s="13" t="s">
        <v>76</v>
      </c>
      <c r="D66" s="10"/>
    </row>
    <row r="67" spans="1:4" x14ac:dyDescent="0.3">
      <c r="A67" s="7">
        <f t="shared" ref="A67:A71" si="1">ROW()-1</f>
        <v>66</v>
      </c>
      <c r="B67" s="8" t="s">
        <v>71</v>
      </c>
      <c r="C67" s="13" t="s">
        <v>76</v>
      </c>
      <c r="D67" s="10"/>
    </row>
    <row r="68" spans="1:4" x14ac:dyDescent="0.3">
      <c r="A68" s="7">
        <f t="shared" si="1"/>
        <v>67</v>
      </c>
      <c r="B68" s="12" t="s">
        <v>72</v>
      </c>
      <c r="C68" s="13" t="s">
        <v>76</v>
      </c>
      <c r="D68" s="10"/>
    </row>
    <row r="69" spans="1:4" x14ac:dyDescent="0.3">
      <c r="A69" s="7">
        <f t="shared" si="1"/>
        <v>68</v>
      </c>
      <c r="B69" s="19" t="s">
        <v>73</v>
      </c>
      <c r="C69" s="13" t="s">
        <v>76</v>
      </c>
      <c r="D69" s="10" t="s">
        <v>82</v>
      </c>
    </row>
    <row r="70" spans="1:4" x14ac:dyDescent="0.3">
      <c r="A70" s="7">
        <f t="shared" si="1"/>
        <v>69</v>
      </c>
      <c r="B70" s="19" t="s">
        <v>74</v>
      </c>
      <c r="C70" s="13" t="s">
        <v>76</v>
      </c>
      <c r="D70" s="10" t="s">
        <v>82</v>
      </c>
    </row>
    <row r="71" spans="1:4" ht="14.5" thickBot="1" x14ac:dyDescent="0.35">
      <c r="A71" s="14">
        <f t="shared" si="1"/>
        <v>70</v>
      </c>
      <c r="B71" s="20" t="s">
        <v>75</v>
      </c>
      <c r="C71" s="15" t="s">
        <v>76</v>
      </c>
      <c r="D71" s="16" t="s">
        <v>82</v>
      </c>
    </row>
  </sheetData>
  <phoneticPr fontId="1" type="noConversion"/>
  <dataValidations count="1">
    <dataValidation type="list" allowBlank="1" showInputMessage="1" showErrorMessage="1" sqref="D2:D71" xr:uid="{00000000-0002-0000-0000-000000000000}">
      <formula1>"是,否"</formula1>
    </dataValidation>
  </dataValidations>
  <hyperlinks>
    <hyperlink ref="B2" location="货币资金!a1" display="货币资金" xr:uid="{AFDC2013-A6AD-4A8B-BA6B-74F5B010C41A}"/>
    <hyperlink ref="B6" location="应收账款!a1" display="应收账款" xr:uid="{504ED4E4-F7FE-4D93-8CEE-360903697167}"/>
    <hyperlink ref="B9" location="存货!a1" display="存货" xr:uid="{145EEF10-7172-4657-A292-67A6CDCADF0F}"/>
    <hyperlink ref="B20" location="固定资产!a1" display="固定资产" xr:uid="{9ED5316A-9715-44C1-BE5C-C4F81EA00457}"/>
    <hyperlink ref="B34" location="应付账款!a1" display="应付账款" xr:uid="{BCE325A5-C756-4B73-9FA5-D4BBA915C282}"/>
    <hyperlink ref="B36" location="应付职工薪酬!a1" display="应付职工薪酬" xr:uid="{F09E511A-4064-4421-B3F8-17FEDF0036B3}"/>
    <hyperlink ref="B37" location="应交税费!a1" display="应交税费" xr:uid="{8B213E04-47D8-4BCE-9085-057EBE95AC76}"/>
    <hyperlink ref="B38" location="其他应付款!a1" display="其他应付款" xr:uid="{BB78C646-3DB0-46EE-A1DA-A4D7997060D2}"/>
    <hyperlink ref="B49" location="实收资本(或股本)!a1" display="实收资本(或股本)" xr:uid="{B5B55859-E9A2-489E-9609-9F5C7085691E}"/>
    <hyperlink ref="B55" location="未分配利润!a1" display="未分配利润" xr:uid="{1EEC80F7-15E6-4AAC-8D09-FCDC83B9AF03}"/>
    <hyperlink ref="B56" location="营业收入!a1" display="营业收入" xr:uid="{0B8802D9-2E3D-4E07-AF8D-1376006DB7B3}"/>
    <hyperlink ref="B57" location="营业成本!a1" display="营业成本" xr:uid="{CF9C094F-233C-4873-8111-959EB4F95654}"/>
    <hyperlink ref="B58" location="税金及附加!a1" display="税金及附加" xr:uid="{669F861F-364B-421D-82F4-B10C8D3C2B53}"/>
    <hyperlink ref="B59" location="销售费用!a1" display="销售费用" xr:uid="{5D2B7C45-CB8A-459A-813F-1D9A0E23CF9E}"/>
    <hyperlink ref="B60" location="管理费用!a1" display="管理费用" xr:uid="{52938B6E-409D-47E9-B085-3839C575AF19}"/>
    <hyperlink ref="B61" location="研发费用!a1" display="研发费用" xr:uid="{0DE21A2D-5CCE-437E-B2CC-1E84FDB08BB4}"/>
    <hyperlink ref="B62" location="财务费用!a1" display="财务费用" xr:uid="{3594D823-7F41-41B1-B21F-32C0129B962B}"/>
    <hyperlink ref="B69" location="营业外收入!a1" display="营业外收入" xr:uid="{C5A2EFE4-080D-4CB7-9CCB-B2E6415E9D14}"/>
    <hyperlink ref="B70" location="营业外支出!a1" display="营业外支出" xr:uid="{A62FC1CB-6E96-4F36-9288-C117397AEC04}"/>
    <hyperlink ref="B71" location="所得税费用!a1" display="所得税费用" xr:uid="{DDEEB69F-D27E-430E-80F7-5404BCF17CCC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03" r:id="rId4" name="Comd_jlbghlj">
          <controlPr defaultSize="0" autoLine="0" r:id="rId5">
            <anchor moveWithCells="1">
              <from>
                <xdr:col>5</xdr:col>
                <xdr:colOff>31750</xdr:colOff>
                <xdr:row>0</xdr:row>
                <xdr:rowOff>19050</xdr:rowOff>
              </from>
              <to>
                <xdr:col>6</xdr:col>
                <xdr:colOff>628650</xdr:colOff>
                <xdr:row>0</xdr:row>
                <xdr:rowOff>292100</xdr:rowOff>
              </to>
            </anchor>
          </controlPr>
        </control>
      </mc:Choice>
      <mc:Fallback>
        <control shapeId="4103" r:id="rId4" name="Comd_jlbghlj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3:E3"/>
  <sheetViews>
    <sheetView workbookViewId="0">
      <selection activeCell="F10" sqref="F10"/>
    </sheetView>
  </sheetViews>
  <sheetFormatPr defaultRowHeight="14" x14ac:dyDescent="0.3"/>
  <cols>
    <col min="1" max="1" width="12.4140625" customWidth="1"/>
    <col min="2" max="2" width="9.1640625" customWidth="1"/>
    <col min="3" max="5" width="14.58203125" style="17" customWidth="1"/>
  </cols>
  <sheetData>
    <row r="3" spans="3:5" x14ac:dyDescent="0.3">
      <c r="C3" s="17" t="s">
        <v>77</v>
      </c>
      <c r="D3" s="17" t="s">
        <v>79</v>
      </c>
      <c r="E3" s="17" t="s">
        <v>80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返回目录">
                <anchor moveWithCells="1">
                  <from>
                    <xdr:col>0</xdr:col>
                    <xdr:colOff>50800</xdr:colOff>
                    <xdr:row>0</xdr:row>
                    <xdr:rowOff>19050</xdr:rowOff>
                  </from>
                  <to>
                    <xdr:col>0</xdr:col>
                    <xdr:colOff>647700</xdr:colOff>
                    <xdr:row>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3:E3"/>
  <sheetViews>
    <sheetView workbookViewId="0">
      <selection activeCell="E8" sqref="E8"/>
    </sheetView>
  </sheetViews>
  <sheetFormatPr defaultRowHeight="14" x14ac:dyDescent="0.3"/>
  <cols>
    <col min="1" max="1" width="13.1640625" customWidth="1"/>
    <col min="3" max="5" width="18.25" style="17" customWidth="1"/>
  </cols>
  <sheetData>
    <row r="3" spans="3:5" x14ac:dyDescent="0.3">
      <c r="C3" s="17" t="s">
        <v>77</v>
      </c>
      <c r="D3" s="17" t="s">
        <v>78</v>
      </c>
      <c r="E3" s="17" t="s">
        <v>81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返回目录">
                <anchor moveWithCells="1">
                  <from>
                    <xdr:col>0</xdr:col>
                    <xdr:colOff>57150</xdr:colOff>
                    <xdr:row>0</xdr:row>
                    <xdr:rowOff>31750</xdr:rowOff>
                  </from>
                  <to>
                    <xdr:col>0</xdr:col>
                    <xdr:colOff>654050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277F9-194E-4FB6-B4B5-4F08D5E4A25C}">
  <sheetPr codeName="Sheet4"/>
  <dimension ref="C3:E6"/>
  <sheetViews>
    <sheetView workbookViewId="0">
      <selection activeCell="E9" sqref="E9"/>
    </sheetView>
  </sheetViews>
  <sheetFormatPr defaultRowHeight="14" x14ac:dyDescent="0.3"/>
  <cols>
    <col min="1" max="1" width="12.4140625" customWidth="1"/>
    <col min="2" max="2" width="9.1640625" customWidth="1"/>
    <col min="3" max="5" width="14.58203125" style="17" customWidth="1"/>
  </cols>
  <sheetData>
    <row r="3" spans="3:5" x14ac:dyDescent="0.3">
      <c r="C3" s="17" t="s">
        <v>77</v>
      </c>
      <c r="D3" s="17" t="s">
        <v>79</v>
      </c>
      <c r="E3" s="17" t="s">
        <v>80</v>
      </c>
    </row>
    <row r="4" spans="3:5" x14ac:dyDescent="0.3">
      <c r="C4" s="17" t="s">
        <v>83</v>
      </c>
      <c r="D4" s="17">
        <v>557137.14</v>
      </c>
      <c r="E4" s="17">
        <v>797537.44</v>
      </c>
    </row>
    <row r="5" spans="3:5" x14ac:dyDescent="0.3">
      <c r="C5" s="17" t="s">
        <v>84</v>
      </c>
      <c r="D5" s="17">
        <v>16784.88</v>
      </c>
      <c r="E5" s="17">
        <v>9047.68</v>
      </c>
    </row>
    <row r="6" spans="3:5" x14ac:dyDescent="0.3">
      <c r="C6" s="17" t="s">
        <v>85</v>
      </c>
      <c r="D6" s="17">
        <f>SUM(D4:D5)</f>
        <v>573922.02</v>
      </c>
      <c r="E6" s="17">
        <f>SUM(E4:E5)</f>
        <v>806585.12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heet1.返回目录">
                <anchor moveWithCells="1">
                  <from>
                    <xdr:col>0</xdr:col>
                    <xdr:colOff>50800</xdr:colOff>
                    <xdr:row>0</xdr:row>
                    <xdr:rowOff>19050</xdr:rowOff>
                  </from>
                  <to>
                    <xdr:col>0</xdr:col>
                    <xdr:colOff>647700</xdr:colOff>
                    <xdr:row>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64FB5-26E2-41BB-ACF3-7DFB1A6FA28D}">
  <sheetPr codeName="Sheet5"/>
  <dimension ref="C3:E7"/>
  <sheetViews>
    <sheetView workbookViewId="0">
      <selection activeCell="H20" sqref="H20"/>
    </sheetView>
  </sheetViews>
  <sheetFormatPr defaultRowHeight="14" x14ac:dyDescent="0.3"/>
  <cols>
    <col min="1" max="1" width="12.4140625" customWidth="1"/>
    <col min="2" max="2" width="9.1640625" customWidth="1"/>
    <col min="3" max="5" width="14.58203125" style="17" customWidth="1"/>
  </cols>
  <sheetData>
    <row r="3" spans="3:5" x14ac:dyDescent="0.3">
      <c r="C3" s="17" t="s">
        <v>86</v>
      </c>
      <c r="D3" s="17" t="s">
        <v>79</v>
      </c>
      <c r="E3" s="17" t="s">
        <v>80</v>
      </c>
    </row>
    <row r="4" spans="3:5" x14ac:dyDescent="0.3">
      <c r="C4" s="17" t="s">
        <v>87</v>
      </c>
      <c r="D4" s="17">
        <v>14986598.380000001</v>
      </c>
      <c r="E4" s="17">
        <v>14842158.880000001</v>
      </c>
    </row>
    <row r="5" spans="3:5" x14ac:dyDescent="0.3">
      <c r="C5" s="17" t="s">
        <v>88</v>
      </c>
      <c r="D5" s="17">
        <v>6890475.7599999998</v>
      </c>
      <c r="E5" s="17">
        <v>5889761.5499999998</v>
      </c>
    </row>
    <row r="6" spans="3:5" x14ac:dyDescent="0.3">
      <c r="C6" s="17" t="s">
        <v>89</v>
      </c>
      <c r="D6" s="17">
        <v>2664475</v>
      </c>
      <c r="E6" s="17">
        <v>2549905</v>
      </c>
    </row>
    <row r="7" spans="3:5" x14ac:dyDescent="0.3">
      <c r="C7" s="17" t="s">
        <v>90</v>
      </c>
      <c r="D7" s="17">
        <v>5038392.87</v>
      </c>
      <c r="E7" s="17">
        <v>5956585.4699999997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heet1.返回目录">
                <anchor moveWithCells="1">
                  <from>
                    <xdr:col>0</xdr:col>
                    <xdr:colOff>50800</xdr:colOff>
                    <xdr:row>0</xdr:row>
                    <xdr:rowOff>19050</xdr:rowOff>
                  </from>
                  <to>
                    <xdr:col>0</xdr:col>
                    <xdr:colOff>647700</xdr:colOff>
                    <xdr:row>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E3DFA-4BE4-459F-A9C1-E0AAA3654F6E}">
  <sheetPr codeName="Sheet6"/>
  <dimension ref="C3:E5"/>
  <sheetViews>
    <sheetView workbookViewId="0">
      <selection activeCell="E7" sqref="E7"/>
    </sheetView>
  </sheetViews>
  <sheetFormatPr defaultRowHeight="14" x14ac:dyDescent="0.3"/>
  <cols>
    <col min="1" max="1" width="12.4140625" customWidth="1"/>
    <col min="2" max="2" width="9.1640625" customWidth="1"/>
    <col min="3" max="5" width="14.58203125" style="17" customWidth="1"/>
  </cols>
  <sheetData>
    <row r="3" spans="3:5" x14ac:dyDescent="0.3">
      <c r="C3" s="17" t="s">
        <v>77</v>
      </c>
      <c r="D3" s="17" t="s">
        <v>79</v>
      </c>
      <c r="E3" s="17" t="s">
        <v>80</v>
      </c>
    </row>
    <row r="4" spans="3:5" x14ac:dyDescent="0.3">
      <c r="C4" s="17" t="s">
        <v>91</v>
      </c>
      <c r="D4" s="17">
        <v>730519.41</v>
      </c>
      <c r="E4" s="17">
        <v>397269.61</v>
      </c>
    </row>
    <row r="5" spans="3:5" x14ac:dyDescent="0.3">
      <c r="C5" s="17" t="s">
        <v>85</v>
      </c>
      <c r="D5" s="17">
        <v>730519.41</v>
      </c>
      <c r="E5" s="17">
        <v>397269.61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heet1.返回目录">
                <anchor moveWithCells="1">
                  <from>
                    <xdr:col>0</xdr:col>
                    <xdr:colOff>50800</xdr:colOff>
                    <xdr:row>0</xdr:row>
                    <xdr:rowOff>19050</xdr:rowOff>
                  </from>
                  <to>
                    <xdr:col>0</xdr:col>
                    <xdr:colOff>647700</xdr:colOff>
                    <xdr:row>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CEB49-E3E3-4D96-B3AB-0458030E53B3}">
  <sheetPr codeName="Sheet7"/>
  <dimension ref="C3:E6"/>
  <sheetViews>
    <sheetView workbookViewId="0">
      <selection activeCell="E7" sqref="E7"/>
    </sheetView>
  </sheetViews>
  <sheetFormatPr defaultRowHeight="14" x14ac:dyDescent="0.3"/>
  <cols>
    <col min="1" max="1" width="12.4140625" customWidth="1"/>
    <col min="2" max="2" width="9.1640625" customWidth="1"/>
    <col min="3" max="5" width="14.58203125" style="17" customWidth="1"/>
  </cols>
  <sheetData>
    <row r="3" spans="3:5" x14ac:dyDescent="0.3">
      <c r="C3" s="17" t="s">
        <v>77</v>
      </c>
      <c r="D3" s="17" t="s">
        <v>79</v>
      </c>
      <c r="E3" s="17" t="s">
        <v>80</v>
      </c>
    </row>
    <row r="4" spans="3:5" x14ac:dyDescent="0.3">
      <c r="C4" s="17" t="s">
        <v>92</v>
      </c>
      <c r="D4" s="17">
        <v>3149200.91</v>
      </c>
      <c r="E4" s="17">
        <v>3306723.03</v>
      </c>
    </row>
    <row r="5" spans="3:5" x14ac:dyDescent="0.3">
      <c r="C5" s="17" t="s">
        <v>93</v>
      </c>
      <c r="D5" s="17">
        <v>1527392.09</v>
      </c>
      <c r="E5" s="17">
        <v>2017707.14</v>
      </c>
    </row>
    <row r="6" spans="3:5" x14ac:dyDescent="0.3">
      <c r="C6" s="17" t="s">
        <v>94</v>
      </c>
      <c r="D6" s="17">
        <f>D4-D5</f>
        <v>1621808.82</v>
      </c>
      <c r="E6" s="17">
        <f>E4-E5</f>
        <v>1289015.8899999999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heet1.返回目录">
                <anchor moveWithCells="1">
                  <from>
                    <xdr:col>0</xdr:col>
                    <xdr:colOff>50800</xdr:colOff>
                    <xdr:row>0</xdr:row>
                    <xdr:rowOff>19050</xdr:rowOff>
                  </from>
                  <to>
                    <xdr:col>0</xdr:col>
                    <xdr:colOff>647700</xdr:colOff>
                    <xdr:row>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884AD-E9A2-46C5-99C1-8B03EF927EC3}">
  <sheetPr codeName="Sheet8"/>
  <dimension ref="C3:E7"/>
  <sheetViews>
    <sheetView workbookViewId="0">
      <selection activeCell="I16" sqref="I16"/>
    </sheetView>
  </sheetViews>
  <sheetFormatPr defaultRowHeight="14" x14ac:dyDescent="0.3"/>
  <cols>
    <col min="1" max="1" width="12.4140625" customWidth="1"/>
    <col min="2" max="2" width="9.1640625" customWidth="1"/>
    <col min="3" max="5" width="14.58203125" style="17" customWidth="1"/>
  </cols>
  <sheetData>
    <row r="3" spans="3:5" x14ac:dyDescent="0.3">
      <c r="C3" s="17" t="s">
        <v>86</v>
      </c>
      <c r="D3" s="17" t="s">
        <v>79</v>
      </c>
      <c r="E3" s="17" t="s">
        <v>80</v>
      </c>
    </row>
    <row r="4" spans="3:5" x14ac:dyDescent="0.3">
      <c r="C4" s="17" t="s">
        <v>95</v>
      </c>
      <c r="D4" s="17">
        <v>1434133.61</v>
      </c>
      <c r="E4" s="17">
        <v>1149448.01</v>
      </c>
    </row>
    <row r="5" spans="3:5" x14ac:dyDescent="0.3">
      <c r="C5" s="17" t="s">
        <v>96</v>
      </c>
      <c r="D5" s="17">
        <v>428660.35</v>
      </c>
      <c r="E5" s="17">
        <v>428660.35</v>
      </c>
    </row>
    <row r="6" spans="3:5" x14ac:dyDescent="0.3">
      <c r="C6" s="17" t="s">
        <v>97</v>
      </c>
      <c r="D6" s="17">
        <v>4044507</v>
      </c>
      <c r="E6" s="17">
        <v>2582847</v>
      </c>
    </row>
    <row r="7" spans="3:5" x14ac:dyDescent="0.3">
      <c r="C7" s="17" t="s">
        <v>98</v>
      </c>
      <c r="D7" s="17">
        <v>2273828.25</v>
      </c>
      <c r="E7" s="17">
        <v>1794010.98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Sheet1.返回目录">
                <anchor moveWithCells="1">
                  <from>
                    <xdr:col>0</xdr:col>
                    <xdr:colOff>50800</xdr:colOff>
                    <xdr:row>0</xdr:row>
                    <xdr:rowOff>19050</xdr:rowOff>
                  </from>
                  <to>
                    <xdr:col>0</xdr:col>
                    <xdr:colOff>647700</xdr:colOff>
                    <xdr:row>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AA5A4-E381-4623-BBD8-30936B0B9659}">
  <sheetPr codeName="Sheet9"/>
  <dimension ref="C3:E5"/>
  <sheetViews>
    <sheetView workbookViewId="0">
      <selection activeCell="D12" sqref="D12"/>
    </sheetView>
  </sheetViews>
  <sheetFormatPr defaultRowHeight="14" x14ac:dyDescent="0.3"/>
  <cols>
    <col min="1" max="1" width="12.4140625" customWidth="1"/>
    <col min="2" max="2" width="9.1640625" customWidth="1"/>
    <col min="3" max="5" width="14.58203125" style="17" customWidth="1"/>
  </cols>
  <sheetData>
    <row r="3" spans="3:5" x14ac:dyDescent="0.3">
      <c r="C3" s="17" t="s">
        <v>77</v>
      </c>
      <c r="D3" s="17" t="s">
        <v>79</v>
      </c>
      <c r="E3" s="17" t="s">
        <v>80</v>
      </c>
    </row>
    <row r="4" spans="3:5" x14ac:dyDescent="0.3">
      <c r="C4" s="17" t="s">
        <v>99</v>
      </c>
      <c r="D4" s="17">
        <v>75962.81</v>
      </c>
      <c r="E4" s="17">
        <v>87586.5</v>
      </c>
    </row>
    <row r="5" spans="3:5" x14ac:dyDescent="0.3">
      <c r="C5" s="17" t="s">
        <v>85</v>
      </c>
      <c r="D5" s="17">
        <v>75962.81</v>
      </c>
      <c r="E5" s="17">
        <v>87586.5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eet1.返回目录">
                <anchor moveWithCells="1">
                  <from>
                    <xdr:col>0</xdr:col>
                    <xdr:colOff>50800</xdr:colOff>
                    <xdr:row>0</xdr:row>
                    <xdr:rowOff>19050</xdr:rowOff>
                  </from>
                  <to>
                    <xdr:col>0</xdr:col>
                    <xdr:colOff>647700</xdr:colOff>
                    <xdr:row>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8A7F4-33B1-4C05-977D-CA5C98FF1EBB}">
  <sheetPr codeName="Sheet10"/>
  <dimension ref="C3:E11"/>
  <sheetViews>
    <sheetView workbookViewId="0">
      <selection activeCell="E14" sqref="E14"/>
    </sheetView>
  </sheetViews>
  <sheetFormatPr defaultRowHeight="14" x14ac:dyDescent="0.3"/>
  <cols>
    <col min="1" max="1" width="12.4140625" customWidth="1"/>
    <col min="2" max="2" width="9.1640625" customWidth="1"/>
    <col min="3" max="5" width="14.58203125" style="17" customWidth="1"/>
  </cols>
  <sheetData>
    <row r="3" spans="3:5" x14ac:dyDescent="0.3">
      <c r="C3" s="17" t="s">
        <v>77</v>
      </c>
      <c r="D3" s="17" t="s">
        <v>79</v>
      </c>
      <c r="E3" s="17" t="s">
        <v>80</v>
      </c>
    </row>
    <row r="4" spans="3:5" x14ac:dyDescent="0.3">
      <c r="C4" s="17" t="s">
        <v>100</v>
      </c>
      <c r="D4" s="17" t="s">
        <v>101</v>
      </c>
      <c r="E4" s="17">
        <v>-2943.14</v>
      </c>
    </row>
    <row r="5" spans="3:5" x14ac:dyDescent="0.3">
      <c r="C5" s="17" t="s">
        <v>102</v>
      </c>
      <c r="D5" s="17">
        <v>592146.43999999994</v>
      </c>
      <c r="E5" s="17">
        <v>133049.51999999999</v>
      </c>
    </row>
    <row r="6" spans="3:5" x14ac:dyDescent="0.3">
      <c r="C6" s="17" t="s">
        <v>103</v>
      </c>
      <c r="D6" s="17">
        <v>59000.85</v>
      </c>
      <c r="E6" s="17" t="s">
        <v>101</v>
      </c>
    </row>
    <row r="7" spans="3:5" x14ac:dyDescent="0.3">
      <c r="C7" s="17" t="s">
        <v>104</v>
      </c>
      <c r="D7" s="17">
        <v>3125.86</v>
      </c>
      <c r="E7" s="17">
        <v>665.25</v>
      </c>
    </row>
    <row r="8" spans="3:5" x14ac:dyDescent="0.3">
      <c r="C8" s="17" t="s">
        <v>105</v>
      </c>
      <c r="D8" s="17">
        <v>9377.56</v>
      </c>
      <c r="E8" s="17">
        <v>1995.74</v>
      </c>
    </row>
    <row r="9" spans="3:5" x14ac:dyDescent="0.3">
      <c r="C9" s="17" t="s">
        <v>106</v>
      </c>
      <c r="D9" s="17">
        <v>6251.72</v>
      </c>
      <c r="E9" s="17">
        <v>1330.49</v>
      </c>
    </row>
    <row r="10" spans="3:5" x14ac:dyDescent="0.3">
      <c r="C10" s="17" t="s">
        <v>107</v>
      </c>
      <c r="D10" s="17">
        <v>1382.79</v>
      </c>
      <c r="E10" s="17">
        <v>1722.69</v>
      </c>
    </row>
    <row r="11" spans="3:5" x14ac:dyDescent="0.3">
      <c r="C11" s="17" t="s">
        <v>85</v>
      </c>
      <c r="D11" s="17">
        <f>SUM(D4:D10)</f>
        <v>671285.22</v>
      </c>
      <c r="E11" s="17">
        <f>SUM(E4:E10)</f>
        <v>135820.54999999999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Sheet1.返回目录">
                <anchor moveWithCells="1">
                  <from>
                    <xdr:col>0</xdr:col>
                    <xdr:colOff>50800</xdr:colOff>
                    <xdr:row>0</xdr:row>
                    <xdr:rowOff>19050</xdr:rowOff>
                  </from>
                  <to>
                    <xdr:col>0</xdr:col>
                    <xdr:colOff>647700</xdr:colOff>
                    <xdr:row>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3DC9E-5CE5-4CB5-A833-FCDE22541BA9}">
  <sheetPr codeName="Sheet11"/>
  <dimension ref="C3:E7"/>
  <sheetViews>
    <sheetView workbookViewId="0">
      <selection activeCell="E11" sqref="E11"/>
    </sheetView>
  </sheetViews>
  <sheetFormatPr defaultRowHeight="14" x14ac:dyDescent="0.3"/>
  <cols>
    <col min="1" max="1" width="12.4140625" customWidth="1"/>
    <col min="2" max="2" width="9.1640625" customWidth="1"/>
    <col min="3" max="5" width="14.58203125" style="17" customWidth="1"/>
  </cols>
  <sheetData>
    <row r="3" spans="3:5" x14ac:dyDescent="0.3">
      <c r="C3" s="17" t="s">
        <v>86</v>
      </c>
      <c r="D3" s="17" t="s">
        <v>79</v>
      </c>
      <c r="E3" s="17" t="s">
        <v>80</v>
      </c>
    </row>
    <row r="4" spans="3:5" x14ac:dyDescent="0.3">
      <c r="C4" s="17" t="s">
        <v>108</v>
      </c>
      <c r="D4" s="17">
        <v>2135370.79</v>
      </c>
      <c r="E4" s="17">
        <v>945526.23</v>
      </c>
    </row>
    <row r="5" spans="3:5" x14ac:dyDescent="0.3">
      <c r="C5" s="17" t="s">
        <v>109</v>
      </c>
      <c r="D5" s="17">
        <v>2360585.64</v>
      </c>
      <c r="E5" s="17">
        <v>999725.83</v>
      </c>
    </row>
    <row r="6" spans="3:5" x14ac:dyDescent="0.3">
      <c r="C6" s="17" t="s">
        <v>110</v>
      </c>
      <c r="D6" s="17" t="s">
        <v>101</v>
      </c>
      <c r="E6" s="17">
        <v>320133.37</v>
      </c>
    </row>
    <row r="7" spans="3:5" x14ac:dyDescent="0.3">
      <c r="C7" s="17" t="s">
        <v>111</v>
      </c>
      <c r="D7" s="17" t="s">
        <v>101</v>
      </c>
      <c r="E7" s="17">
        <v>990500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eet1.返回目录">
                <anchor moveWithCells="1">
                  <from>
                    <xdr:col>0</xdr:col>
                    <xdr:colOff>50800</xdr:colOff>
                    <xdr:row>0</xdr:row>
                    <xdr:rowOff>19050</xdr:rowOff>
                  </from>
                  <to>
                    <xdr:col>0</xdr:col>
                    <xdr:colOff>647700</xdr:colOff>
                    <xdr:row>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E6121-9CB7-49E0-8847-6D73B07299B7}">
  <sheetPr codeName="Sheet12"/>
  <dimension ref="C3:E5"/>
  <sheetViews>
    <sheetView workbookViewId="0">
      <selection activeCell="E6" sqref="E6"/>
    </sheetView>
  </sheetViews>
  <sheetFormatPr defaultRowHeight="14" x14ac:dyDescent="0.3"/>
  <cols>
    <col min="1" max="1" width="12.4140625" customWidth="1"/>
    <col min="2" max="2" width="9.1640625" customWidth="1"/>
    <col min="3" max="5" width="14.58203125" style="17" customWidth="1"/>
  </cols>
  <sheetData>
    <row r="3" spans="3:5" x14ac:dyDescent="0.3">
      <c r="C3" s="17" t="s">
        <v>77</v>
      </c>
      <c r="D3" s="17" t="s">
        <v>79</v>
      </c>
      <c r="E3" s="17" t="s">
        <v>80</v>
      </c>
    </row>
    <row r="4" spans="3:5" x14ac:dyDescent="0.3">
      <c r="C4" s="17" t="s">
        <v>112</v>
      </c>
      <c r="D4" s="17">
        <v>10000000</v>
      </c>
      <c r="E4" s="17">
        <v>10000000</v>
      </c>
    </row>
    <row r="5" spans="3:5" x14ac:dyDescent="0.3">
      <c r="C5" s="17" t="s">
        <v>85</v>
      </c>
      <c r="D5" s="17">
        <v>10000000</v>
      </c>
      <c r="E5" s="17">
        <v>10000000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1.返回目录">
                <anchor moveWithCells="1">
                  <from>
                    <xdr:col>0</xdr:col>
                    <xdr:colOff>50800</xdr:colOff>
                    <xdr:row>0</xdr:row>
                    <xdr:rowOff>19050</xdr:rowOff>
                  </from>
                  <to>
                    <xdr:col>0</xdr:col>
                    <xdr:colOff>647700</xdr:colOff>
                    <xdr:row>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88E7D-28DB-48C8-86F5-1C95EFE1A4E6}">
  <sheetPr codeName="Sheet13"/>
  <dimension ref="C3:E18"/>
  <sheetViews>
    <sheetView workbookViewId="0">
      <selection activeCell="F13" sqref="F13"/>
    </sheetView>
  </sheetViews>
  <sheetFormatPr defaultRowHeight="14" x14ac:dyDescent="0.3"/>
  <cols>
    <col min="1" max="1" width="12.4140625" customWidth="1"/>
    <col min="2" max="2" width="9.1640625" customWidth="1"/>
    <col min="3" max="5" width="14.58203125" style="17" customWidth="1"/>
  </cols>
  <sheetData>
    <row r="3" spans="3:5" x14ac:dyDescent="0.3">
      <c r="C3" s="17" t="s">
        <v>77</v>
      </c>
      <c r="D3" s="17" t="s">
        <v>79</v>
      </c>
      <c r="E3" s="17" t="s">
        <v>80</v>
      </c>
    </row>
    <row r="4" spans="3:5" x14ac:dyDescent="0.3">
      <c r="C4" s="17" t="s">
        <v>113</v>
      </c>
      <c r="D4" s="17">
        <v>6027025.3799999999</v>
      </c>
      <c r="E4" s="17">
        <v>8541121.7100000009</v>
      </c>
    </row>
    <row r="5" spans="3:5" x14ac:dyDescent="0.3">
      <c r="C5" s="17" t="s">
        <v>114</v>
      </c>
    </row>
    <row r="6" spans="3:5" x14ac:dyDescent="0.3">
      <c r="C6" s="17" t="s">
        <v>115</v>
      </c>
    </row>
    <row r="7" spans="3:5" x14ac:dyDescent="0.3">
      <c r="C7" s="17" t="s">
        <v>116</v>
      </c>
    </row>
    <row r="8" spans="3:5" x14ac:dyDescent="0.3">
      <c r="C8" s="17" t="s">
        <v>117</v>
      </c>
      <c r="E8" s="17">
        <v>-4482.55</v>
      </c>
    </row>
    <row r="9" spans="3:5" x14ac:dyDescent="0.3">
      <c r="C9" s="17" t="s">
        <v>118</v>
      </c>
      <c r="D9" s="17">
        <v>6027025.3799999999</v>
      </c>
      <c r="E9" s="17">
        <v>8536639.1600000001</v>
      </c>
    </row>
    <row r="10" spans="3:5" x14ac:dyDescent="0.3">
      <c r="C10" s="17" t="s">
        <v>119</v>
      </c>
      <c r="D10" s="17">
        <v>2514096.33</v>
      </c>
      <c r="E10" s="17">
        <v>3045539.63</v>
      </c>
    </row>
    <row r="11" spans="3:5" x14ac:dyDescent="0.3">
      <c r="C11" s="17" t="s">
        <v>120</v>
      </c>
      <c r="D11" s="17">
        <v>2514192.12</v>
      </c>
      <c r="E11" s="17">
        <v>3045539.63</v>
      </c>
    </row>
    <row r="12" spans="3:5" x14ac:dyDescent="0.3">
      <c r="C12" s="17" t="s">
        <v>121</v>
      </c>
      <c r="D12" s="17">
        <v>-95.79</v>
      </c>
    </row>
    <row r="13" spans="3:5" x14ac:dyDescent="0.3">
      <c r="C13" s="17" t="s">
        <v>122</v>
      </c>
    </row>
    <row r="14" spans="3:5" x14ac:dyDescent="0.3">
      <c r="C14" s="17" t="s">
        <v>123</v>
      </c>
    </row>
    <row r="15" spans="3:5" x14ac:dyDescent="0.3">
      <c r="C15" s="17" t="s">
        <v>124</v>
      </c>
    </row>
    <row r="16" spans="3:5" x14ac:dyDescent="0.3">
      <c r="C16" s="17" t="s">
        <v>125</v>
      </c>
    </row>
    <row r="17" spans="3:5" x14ac:dyDescent="0.3">
      <c r="C17" s="17" t="s">
        <v>126</v>
      </c>
    </row>
    <row r="18" spans="3:5" x14ac:dyDescent="0.3">
      <c r="C18" s="17" t="s">
        <v>127</v>
      </c>
      <c r="D18" s="17">
        <v>8541121.7100000009</v>
      </c>
      <c r="E18" s="17">
        <v>11582178.789999999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Sheet1.返回目录">
                <anchor moveWithCells="1">
                  <from>
                    <xdr:col>0</xdr:col>
                    <xdr:colOff>50800</xdr:colOff>
                    <xdr:row>0</xdr:row>
                    <xdr:rowOff>19050</xdr:rowOff>
                  </from>
                  <to>
                    <xdr:col>0</xdr:col>
                    <xdr:colOff>647700</xdr:colOff>
                    <xdr:row>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016DB-6A14-48C0-B2DF-0D8E01699A94}">
  <sheetPr codeName="Sheet14"/>
  <dimension ref="C3:E6"/>
  <sheetViews>
    <sheetView workbookViewId="0">
      <selection activeCell="E8" sqref="E8"/>
    </sheetView>
  </sheetViews>
  <sheetFormatPr defaultRowHeight="14" x14ac:dyDescent="0.3"/>
  <cols>
    <col min="1" max="1" width="13.1640625" customWidth="1"/>
    <col min="3" max="5" width="18.25" style="17" customWidth="1"/>
  </cols>
  <sheetData>
    <row r="3" spans="3:5" x14ac:dyDescent="0.3">
      <c r="C3" s="17" t="s">
        <v>77</v>
      </c>
      <c r="D3" s="17" t="s">
        <v>78</v>
      </c>
      <c r="E3" s="17" t="s">
        <v>81</v>
      </c>
    </row>
    <row r="4" spans="3:5" x14ac:dyDescent="0.3">
      <c r="C4" s="17" t="s">
        <v>128</v>
      </c>
      <c r="D4" s="17">
        <v>59551538.229999997</v>
      </c>
      <c r="E4" s="17">
        <v>57653002.469999999</v>
      </c>
    </row>
    <row r="5" spans="3:5" x14ac:dyDescent="0.3">
      <c r="C5" s="17" t="s">
        <v>129</v>
      </c>
      <c r="D5" s="17">
        <v>47075521.140000001</v>
      </c>
    </row>
    <row r="6" spans="3:5" x14ac:dyDescent="0.3">
      <c r="C6" s="17" t="s">
        <v>85</v>
      </c>
      <c r="D6" s="17">
        <f>D4</f>
        <v>59551538.229999997</v>
      </c>
      <c r="E6" s="17">
        <f>E4</f>
        <v>57653002.469999999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Sheet1.返回目录">
                <anchor moveWithCells="1">
                  <from>
                    <xdr:col>0</xdr:col>
                    <xdr:colOff>57150</xdr:colOff>
                    <xdr:row>0</xdr:row>
                    <xdr:rowOff>31750</xdr:rowOff>
                  </from>
                  <to>
                    <xdr:col>0</xdr:col>
                    <xdr:colOff>654050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5B91E-CE5D-4DC2-945F-13158A935253}">
  <sheetPr codeName="Sheet15"/>
  <dimension ref="C3:E5"/>
  <sheetViews>
    <sheetView workbookViewId="0">
      <selection activeCell="E7" sqref="E7"/>
    </sheetView>
  </sheetViews>
  <sheetFormatPr defaultRowHeight="14" x14ac:dyDescent="0.3"/>
  <cols>
    <col min="1" max="1" width="13.1640625" customWidth="1"/>
    <col min="3" max="5" width="18.25" style="17" customWidth="1"/>
  </cols>
  <sheetData>
    <row r="3" spans="3:5" x14ac:dyDescent="0.3">
      <c r="C3" s="17" t="s">
        <v>77</v>
      </c>
      <c r="D3" s="17" t="s">
        <v>78</v>
      </c>
      <c r="E3" s="17" t="s">
        <v>81</v>
      </c>
    </row>
    <row r="4" spans="3:5" x14ac:dyDescent="0.3">
      <c r="C4" s="17" t="s">
        <v>130</v>
      </c>
      <c r="D4" s="17">
        <v>50895543.049999997</v>
      </c>
      <c r="E4" s="17">
        <v>48921162.670000002</v>
      </c>
    </row>
    <row r="5" spans="3:5" x14ac:dyDescent="0.3">
      <c r="C5" s="17" t="s">
        <v>85</v>
      </c>
      <c r="D5" s="17">
        <v>50895543.049999997</v>
      </c>
      <c r="E5" s="17">
        <v>48921162.670000002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Sheet1.返回目录">
                <anchor moveWithCells="1">
                  <from>
                    <xdr:col>0</xdr:col>
                    <xdr:colOff>57150</xdr:colOff>
                    <xdr:row>0</xdr:row>
                    <xdr:rowOff>31750</xdr:rowOff>
                  </from>
                  <to>
                    <xdr:col>0</xdr:col>
                    <xdr:colOff>654050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5A75A-5415-46B8-8C35-431889D0A82C}">
  <sheetPr codeName="Sheet16"/>
  <dimension ref="C3:E5"/>
  <sheetViews>
    <sheetView workbookViewId="0">
      <selection activeCell="D15" sqref="D15"/>
    </sheetView>
  </sheetViews>
  <sheetFormatPr defaultRowHeight="14" x14ac:dyDescent="0.3"/>
  <cols>
    <col min="1" max="1" width="13.1640625" customWidth="1"/>
    <col min="3" max="5" width="18.25" style="17" customWidth="1"/>
  </cols>
  <sheetData>
    <row r="3" spans="3:5" x14ac:dyDescent="0.3">
      <c r="C3" s="17" t="s">
        <v>77</v>
      </c>
      <c r="D3" s="17" t="s">
        <v>78</v>
      </c>
      <c r="E3" s="17" t="s">
        <v>81</v>
      </c>
    </row>
    <row r="4" spans="3:5" x14ac:dyDescent="0.3">
      <c r="C4" s="17" t="s">
        <v>131</v>
      </c>
      <c r="D4" s="17">
        <v>53862.68</v>
      </c>
      <c r="E4" s="17">
        <v>53562.18</v>
      </c>
    </row>
    <row r="5" spans="3:5" x14ac:dyDescent="0.3">
      <c r="C5" s="17" t="s">
        <v>85</v>
      </c>
      <c r="D5" s="17">
        <v>53862.68</v>
      </c>
      <c r="E5" s="17">
        <v>53562.18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heet1.返回目录">
                <anchor moveWithCells="1">
                  <from>
                    <xdr:col>0</xdr:col>
                    <xdr:colOff>57150</xdr:colOff>
                    <xdr:row>0</xdr:row>
                    <xdr:rowOff>31750</xdr:rowOff>
                  </from>
                  <to>
                    <xdr:col>0</xdr:col>
                    <xdr:colOff>654050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DFF0-4C19-4902-8136-243C79B2DE3F}">
  <sheetPr codeName="Sheet17"/>
  <dimension ref="C3:E6"/>
  <sheetViews>
    <sheetView workbookViewId="0">
      <selection activeCell="E8" sqref="E8"/>
    </sheetView>
  </sheetViews>
  <sheetFormatPr defaultRowHeight="14" x14ac:dyDescent="0.3"/>
  <cols>
    <col min="1" max="1" width="13.1640625" customWidth="1"/>
    <col min="3" max="5" width="18.25" style="17" customWidth="1"/>
  </cols>
  <sheetData>
    <row r="3" spans="3:5" x14ac:dyDescent="0.3">
      <c r="C3" s="17" t="s">
        <v>77</v>
      </c>
      <c r="D3" s="17" t="s">
        <v>78</v>
      </c>
      <c r="E3" s="17" t="s">
        <v>81</v>
      </c>
    </row>
    <row r="4" spans="3:5" x14ac:dyDescent="0.3">
      <c r="C4" s="17" t="s">
        <v>132</v>
      </c>
      <c r="D4" s="17">
        <v>416884.25</v>
      </c>
      <c r="E4" s="17">
        <v>995274.59</v>
      </c>
    </row>
    <row r="5" spans="3:5" x14ac:dyDescent="0.3">
      <c r="C5" s="17" t="s">
        <v>133</v>
      </c>
      <c r="D5" s="17">
        <v>1303397.3600000001</v>
      </c>
      <c r="E5" s="17">
        <v>981661.25</v>
      </c>
    </row>
    <row r="6" spans="3:5" x14ac:dyDescent="0.3">
      <c r="C6" s="17" t="s">
        <v>85</v>
      </c>
      <c r="D6" s="17">
        <f>SUM(D4:D5)</f>
        <v>1720281.61</v>
      </c>
      <c r="E6" s="17">
        <f>SUM(E4:E5)</f>
        <v>1976935.8399999999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heet1.返回目录">
                <anchor moveWithCells="1">
                  <from>
                    <xdr:col>0</xdr:col>
                    <xdr:colOff>57150</xdr:colOff>
                    <xdr:row>0</xdr:row>
                    <xdr:rowOff>31750</xdr:rowOff>
                  </from>
                  <to>
                    <xdr:col>0</xdr:col>
                    <xdr:colOff>654050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BB97E-ED9A-42B2-8560-3FC75DFE0C4B}">
  <sheetPr codeName="Sheet18"/>
  <dimension ref="C3:E20"/>
  <sheetViews>
    <sheetView workbookViewId="0">
      <selection activeCell="E23" sqref="E23"/>
    </sheetView>
  </sheetViews>
  <sheetFormatPr defaultRowHeight="14" x14ac:dyDescent="0.3"/>
  <cols>
    <col min="1" max="1" width="13.1640625" customWidth="1"/>
    <col min="3" max="5" width="18.25" style="17" customWidth="1"/>
  </cols>
  <sheetData>
    <row r="3" spans="3:5" x14ac:dyDescent="0.3">
      <c r="C3" s="17" t="s">
        <v>77</v>
      </c>
      <c r="D3" s="17" t="s">
        <v>78</v>
      </c>
      <c r="E3" s="17" t="s">
        <v>81</v>
      </c>
    </row>
    <row r="4" spans="3:5" x14ac:dyDescent="0.3">
      <c r="C4" s="17" t="s">
        <v>134</v>
      </c>
      <c r="D4" s="17">
        <v>151417.25</v>
      </c>
      <c r="E4" s="17">
        <v>309621.49</v>
      </c>
    </row>
    <row r="5" spans="3:5" x14ac:dyDescent="0.3">
      <c r="C5" s="17" t="s">
        <v>135</v>
      </c>
      <c r="D5" s="17">
        <v>24844.7</v>
      </c>
      <c r="E5" s="17">
        <v>88256.95</v>
      </c>
    </row>
    <row r="6" spans="3:5" x14ac:dyDescent="0.3">
      <c r="C6" s="17" t="s">
        <v>136</v>
      </c>
      <c r="D6" s="17">
        <v>167982.25</v>
      </c>
    </row>
    <row r="7" spans="3:5" x14ac:dyDescent="0.3">
      <c r="C7" s="17" t="s">
        <v>137</v>
      </c>
      <c r="D7" s="17">
        <v>14709</v>
      </c>
      <c r="E7" s="17">
        <v>31858.78</v>
      </c>
    </row>
    <row r="8" spans="3:5" x14ac:dyDescent="0.3">
      <c r="C8" s="17" t="s">
        <v>138</v>
      </c>
      <c r="D8" s="17">
        <v>21183.65</v>
      </c>
    </row>
    <row r="9" spans="3:5" x14ac:dyDescent="0.3">
      <c r="C9" s="17" t="s">
        <v>139</v>
      </c>
      <c r="D9" s="17">
        <v>350</v>
      </c>
    </row>
    <row r="10" spans="3:5" x14ac:dyDescent="0.3">
      <c r="C10" s="17" t="s">
        <v>99</v>
      </c>
      <c r="D10" s="17">
        <v>17558</v>
      </c>
    </row>
    <row r="11" spans="3:5" x14ac:dyDescent="0.3">
      <c r="C11" s="17" t="s">
        <v>140</v>
      </c>
      <c r="D11" s="17">
        <v>2344.25</v>
      </c>
      <c r="E11" s="17">
        <v>101057.99</v>
      </c>
    </row>
    <row r="12" spans="3:5" x14ac:dyDescent="0.3">
      <c r="C12" s="17" t="s">
        <v>141</v>
      </c>
      <c r="D12" s="17">
        <v>246162.06</v>
      </c>
      <c r="E12" s="17">
        <v>91752</v>
      </c>
    </row>
    <row r="13" spans="3:5" x14ac:dyDescent="0.3">
      <c r="C13" s="17" t="s">
        <v>142</v>
      </c>
      <c r="D13" s="17">
        <v>273546.46000000002</v>
      </c>
      <c r="E13" s="17">
        <v>248776.9</v>
      </c>
    </row>
    <row r="14" spans="3:5" x14ac:dyDescent="0.3">
      <c r="C14" s="17" t="s">
        <v>143</v>
      </c>
      <c r="D14" s="17">
        <v>7392</v>
      </c>
    </row>
    <row r="15" spans="3:5" x14ac:dyDescent="0.3">
      <c r="C15" s="17" t="s">
        <v>144</v>
      </c>
      <c r="D15" s="17">
        <v>4590</v>
      </c>
    </row>
    <row r="16" spans="3:5" x14ac:dyDescent="0.3">
      <c r="C16" s="17" t="s">
        <v>145</v>
      </c>
      <c r="D16" s="17">
        <v>5489.99</v>
      </c>
    </row>
    <row r="17" spans="3:5" x14ac:dyDescent="0.3">
      <c r="C17" s="17" t="s">
        <v>146</v>
      </c>
      <c r="D17" s="17">
        <v>2430</v>
      </c>
      <c r="E17" s="17">
        <v>12547.54</v>
      </c>
    </row>
    <row r="18" spans="3:5" x14ac:dyDescent="0.3">
      <c r="C18" s="17" t="s">
        <v>147</v>
      </c>
      <c r="E18" s="17">
        <v>5808</v>
      </c>
    </row>
    <row r="19" spans="3:5" x14ac:dyDescent="0.3">
      <c r="C19" s="17" t="s">
        <v>148</v>
      </c>
      <c r="E19" s="17">
        <v>295424.03000000003</v>
      </c>
    </row>
    <row r="20" spans="3:5" x14ac:dyDescent="0.3">
      <c r="C20" s="17" t="s">
        <v>85</v>
      </c>
      <c r="D20" s="17">
        <f>SUM(D4:D19)</f>
        <v>939999.6100000001</v>
      </c>
      <c r="E20" s="17">
        <f>SUM(E4:E19)</f>
        <v>1185103.6800000002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Sheet1.返回目录">
                <anchor moveWithCells="1">
                  <from>
                    <xdr:col>0</xdr:col>
                    <xdr:colOff>57150</xdr:colOff>
                    <xdr:row>0</xdr:row>
                    <xdr:rowOff>31750</xdr:rowOff>
                  </from>
                  <to>
                    <xdr:col>0</xdr:col>
                    <xdr:colOff>654050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03EE5-9D47-4E3B-A357-6A82FCEE0DEA}">
  <sheetPr codeName="Sheet19"/>
  <dimension ref="C3:E8"/>
  <sheetViews>
    <sheetView workbookViewId="0">
      <selection activeCell="H11" sqref="H11"/>
    </sheetView>
  </sheetViews>
  <sheetFormatPr defaultRowHeight="14" x14ac:dyDescent="0.3"/>
  <cols>
    <col min="1" max="1" width="13.1640625" customWidth="1"/>
    <col min="3" max="5" width="18.25" style="17" customWidth="1"/>
  </cols>
  <sheetData>
    <row r="3" spans="3:5" x14ac:dyDescent="0.3">
      <c r="C3" s="17" t="s">
        <v>77</v>
      </c>
      <c r="D3" s="17" t="s">
        <v>78</v>
      </c>
      <c r="E3" s="17" t="s">
        <v>81</v>
      </c>
    </row>
    <row r="4" spans="3:5" x14ac:dyDescent="0.3">
      <c r="C4" s="17" t="s">
        <v>149</v>
      </c>
      <c r="D4" s="17">
        <v>315433.63</v>
      </c>
      <c r="E4" s="17">
        <v>402749.76</v>
      </c>
    </row>
    <row r="5" spans="3:5" x14ac:dyDescent="0.3">
      <c r="C5" s="17" t="s">
        <v>150</v>
      </c>
      <c r="D5" s="17">
        <v>2771515.39</v>
      </c>
      <c r="E5" s="17">
        <v>2246846.98</v>
      </c>
    </row>
    <row r="6" spans="3:5" x14ac:dyDescent="0.3">
      <c r="C6" s="17" t="s">
        <v>151</v>
      </c>
      <c r="D6" s="17">
        <v>46939.81</v>
      </c>
      <c r="E6" s="17">
        <v>44558.59</v>
      </c>
    </row>
    <row r="7" spans="3:5" x14ac:dyDescent="0.3">
      <c r="C7" s="17" t="s">
        <v>152</v>
      </c>
      <c r="E7" s="17">
        <v>35592.589999999997</v>
      </c>
    </row>
    <row r="8" spans="3:5" x14ac:dyDescent="0.3">
      <c r="C8" s="17" t="s">
        <v>85</v>
      </c>
      <c r="D8" s="17">
        <f>SUM(D4:D7)</f>
        <v>3133888.83</v>
      </c>
      <c r="E8" s="17">
        <f>SUM(E4:E7)</f>
        <v>2729747.92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Sheet1.返回目录">
                <anchor moveWithCells="1">
                  <from>
                    <xdr:col>0</xdr:col>
                    <xdr:colOff>57150</xdr:colOff>
                    <xdr:row>0</xdr:row>
                    <xdr:rowOff>31750</xdr:rowOff>
                  </from>
                  <to>
                    <xdr:col>0</xdr:col>
                    <xdr:colOff>654050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CA057-1507-4462-AC2C-9DC4EB392D86}">
  <sheetPr codeName="Sheet20"/>
  <dimension ref="C3:E6"/>
  <sheetViews>
    <sheetView workbookViewId="0">
      <selection activeCell="E9" sqref="E9"/>
    </sheetView>
  </sheetViews>
  <sheetFormatPr defaultRowHeight="14" x14ac:dyDescent="0.3"/>
  <cols>
    <col min="1" max="1" width="13.1640625" customWidth="1"/>
    <col min="3" max="5" width="18.25" style="17" customWidth="1"/>
  </cols>
  <sheetData>
    <row r="3" spans="3:5" x14ac:dyDescent="0.3">
      <c r="C3" s="17" t="s">
        <v>77</v>
      </c>
      <c r="D3" s="17" t="s">
        <v>78</v>
      </c>
      <c r="E3" s="17" t="s">
        <v>81</v>
      </c>
    </row>
    <row r="4" spans="3:5" x14ac:dyDescent="0.3">
      <c r="C4" s="17" t="s">
        <v>154</v>
      </c>
      <c r="D4" s="17">
        <v>7028.73</v>
      </c>
      <c r="E4" s="17">
        <v>4976.49</v>
      </c>
    </row>
    <row r="5" spans="3:5" x14ac:dyDescent="0.3">
      <c r="C5" s="17" t="s">
        <v>153</v>
      </c>
      <c r="D5" s="17">
        <v>-310.08</v>
      </c>
      <c r="E5" s="17">
        <v>151311.46</v>
      </c>
    </row>
    <row r="6" spans="3:5" x14ac:dyDescent="0.3">
      <c r="C6" s="17" t="s">
        <v>85</v>
      </c>
      <c r="D6" s="17">
        <f>SUM(D4:D5)</f>
        <v>6718.65</v>
      </c>
      <c r="E6" s="17">
        <f>SUM(E4:E5)</f>
        <v>156287.94999999998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Sheet1.返回目录">
                <anchor moveWithCells="1">
                  <from>
                    <xdr:col>0</xdr:col>
                    <xdr:colOff>57150</xdr:colOff>
                    <xdr:row>0</xdr:row>
                    <xdr:rowOff>31750</xdr:rowOff>
                  </from>
                  <to>
                    <xdr:col>0</xdr:col>
                    <xdr:colOff>654050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FE2C0-8EFE-40FB-BA63-8BA86F6424A4}">
  <sheetPr codeName="Sheet21"/>
  <dimension ref="C3:E5"/>
  <sheetViews>
    <sheetView workbookViewId="0">
      <selection activeCell="D13" sqref="D13"/>
    </sheetView>
  </sheetViews>
  <sheetFormatPr defaultRowHeight="14" x14ac:dyDescent="0.3"/>
  <cols>
    <col min="1" max="1" width="13.1640625" customWidth="1"/>
    <col min="3" max="5" width="18.25" style="17" customWidth="1"/>
  </cols>
  <sheetData>
    <row r="3" spans="3:5" x14ac:dyDescent="0.3">
      <c r="C3" s="17" t="s">
        <v>77</v>
      </c>
      <c r="D3" s="17" t="s">
        <v>78</v>
      </c>
      <c r="E3" s="17" t="s">
        <v>81</v>
      </c>
    </row>
    <row r="4" spans="3:5" x14ac:dyDescent="0.3">
      <c r="C4" s="17" t="s">
        <v>73</v>
      </c>
      <c r="D4" s="17">
        <v>293081.2</v>
      </c>
    </row>
    <row r="5" spans="3:5" x14ac:dyDescent="0.3">
      <c r="C5" s="17" t="s">
        <v>85</v>
      </c>
      <c r="D5" s="17">
        <v>293082.2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eet1.返回目录">
                <anchor moveWithCells="1">
                  <from>
                    <xdr:col>0</xdr:col>
                    <xdr:colOff>57150</xdr:colOff>
                    <xdr:row>0</xdr:row>
                    <xdr:rowOff>31750</xdr:rowOff>
                  </from>
                  <to>
                    <xdr:col>0</xdr:col>
                    <xdr:colOff>654050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4ABE1-2B7A-4D78-ABE7-6C4FF43EAFD8}">
  <sheetPr codeName="Sheet22"/>
  <dimension ref="C3:E6"/>
  <sheetViews>
    <sheetView workbookViewId="0">
      <selection activeCell="E9" sqref="E9"/>
    </sheetView>
  </sheetViews>
  <sheetFormatPr defaultRowHeight="14" x14ac:dyDescent="0.3"/>
  <cols>
    <col min="1" max="1" width="13.1640625" customWidth="1"/>
    <col min="3" max="5" width="18.25" style="17" customWidth="1"/>
  </cols>
  <sheetData>
    <row r="3" spans="3:5" x14ac:dyDescent="0.3">
      <c r="C3" s="17" t="s">
        <v>77</v>
      </c>
      <c r="D3" s="17" t="s">
        <v>78</v>
      </c>
      <c r="E3" s="17" t="s">
        <v>81</v>
      </c>
    </row>
    <row r="4" spans="3:5" x14ac:dyDescent="0.3">
      <c r="C4" s="17" t="s">
        <v>155</v>
      </c>
      <c r="D4" s="17">
        <v>52.18</v>
      </c>
    </row>
    <row r="5" spans="3:5" x14ac:dyDescent="0.3">
      <c r="C5" s="17" t="s">
        <v>156</v>
      </c>
      <c r="D5" s="17">
        <v>10000</v>
      </c>
      <c r="E5" s="17">
        <v>10000</v>
      </c>
    </row>
    <row r="6" spans="3:5" x14ac:dyDescent="0.3">
      <c r="C6" s="17" t="s">
        <v>85</v>
      </c>
      <c r="D6" s="17">
        <f>SUM(D4:D5)</f>
        <v>10052.18</v>
      </c>
      <c r="E6" s="17">
        <f>SUM(E4:E5)</f>
        <v>10000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Sheet1.返回目录">
                <anchor moveWithCells="1">
                  <from>
                    <xdr:col>0</xdr:col>
                    <xdr:colOff>57150</xdr:colOff>
                    <xdr:row>0</xdr:row>
                    <xdr:rowOff>31750</xdr:rowOff>
                  </from>
                  <to>
                    <xdr:col>0</xdr:col>
                    <xdr:colOff>654050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53886-58ED-47DD-B614-A718FDBACA21}">
  <sheetPr codeName="Sheet23"/>
  <dimension ref="C3:E5"/>
  <sheetViews>
    <sheetView workbookViewId="0">
      <selection activeCell="E9" sqref="E9"/>
    </sheetView>
  </sheetViews>
  <sheetFormatPr defaultRowHeight="14" x14ac:dyDescent="0.3"/>
  <cols>
    <col min="1" max="1" width="13.1640625" customWidth="1"/>
    <col min="3" max="5" width="18.25" style="17" customWidth="1"/>
  </cols>
  <sheetData>
    <row r="3" spans="3:5" x14ac:dyDescent="0.3">
      <c r="C3" s="17" t="s">
        <v>77</v>
      </c>
      <c r="D3" s="17" t="s">
        <v>78</v>
      </c>
      <c r="E3" s="17" t="s">
        <v>81</v>
      </c>
    </row>
    <row r="4" spans="3:5" x14ac:dyDescent="0.3">
      <c r="C4" s="17" t="s">
        <v>157</v>
      </c>
      <c r="D4" s="17">
        <v>38733.19</v>
      </c>
      <c r="E4" s="17">
        <v>106010.11</v>
      </c>
    </row>
    <row r="5" spans="3:5" x14ac:dyDescent="0.3">
      <c r="C5" s="17" t="s">
        <v>85</v>
      </c>
      <c r="D5" s="17">
        <v>38733.19</v>
      </c>
      <c r="E5" s="17">
        <v>106010.11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Sheet1.返回目录">
                <anchor moveWithCells="1">
                  <from>
                    <xdr:col>0</xdr:col>
                    <xdr:colOff>57150</xdr:colOff>
                    <xdr:row>0</xdr:row>
                    <xdr:rowOff>31750</xdr:rowOff>
                  </from>
                  <to>
                    <xdr:col>0</xdr:col>
                    <xdr:colOff>654050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23</vt:i4>
      </vt:variant>
    </vt:vector>
  </HeadingPairs>
  <TitlesOfParts>
    <vt:vector size="23" baseType="lpstr">
      <vt:lpstr>目录</vt:lpstr>
      <vt:lpstr>资表模板</vt:lpstr>
      <vt:lpstr>利表模板</vt:lpstr>
      <vt:lpstr>货币资金</vt:lpstr>
      <vt:lpstr>应收账款</vt:lpstr>
      <vt:lpstr>存货</vt:lpstr>
      <vt:lpstr>固定资产</vt:lpstr>
      <vt:lpstr>应付账款</vt:lpstr>
      <vt:lpstr>应付职工薪酬</vt:lpstr>
      <vt:lpstr>应交税费</vt:lpstr>
      <vt:lpstr>其他应付款</vt:lpstr>
      <vt:lpstr>实收资本(或股本)</vt:lpstr>
      <vt:lpstr>未分配利润</vt:lpstr>
      <vt:lpstr>营业收入</vt:lpstr>
      <vt:lpstr>营业成本</vt:lpstr>
      <vt:lpstr>税金及附加</vt:lpstr>
      <vt:lpstr>销售费用</vt:lpstr>
      <vt:lpstr>管理费用</vt:lpstr>
      <vt:lpstr>研发费用</vt:lpstr>
      <vt:lpstr>财务费用</vt:lpstr>
      <vt:lpstr>营业外收入</vt:lpstr>
      <vt:lpstr>营业外支出</vt:lpstr>
      <vt:lpstr>所得税费用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2024-03-21T01:39:00Z</dcterms:modified>
</cp:coreProperties>
</file>